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t_capteur\2025-2026-4GP-NGUYEN-PHAN-GAMBOA\Banc de test\"/>
    </mc:Choice>
  </mc:AlternateContent>
  <xr:revisionPtr revIDLastSave="0" documentId="13_ncr:1_{5F9A346E-00A8-46A3-A4CC-85EAD2E040D3}" xr6:coauthVersionLast="47" xr6:coauthVersionMax="47" xr10:uidLastSave="{00000000-0000-0000-0000-000000000000}"/>
  <bookViews>
    <workbookView xWindow="-108" yWindow="-108" windowWidth="23256" windowHeight="12456" xr2:uid="{D1397E9D-800F-410F-B2F5-486FD72217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  <c r="D35" i="1"/>
  <c r="D36" i="1"/>
  <c r="D37" i="1"/>
  <c r="D33" i="1"/>
  <c r="D41" i="1"/>
  <c r="D42" i="1"/>
  <c r="D43" i="1"/>
  <c r="D44" i="1"/>
  <c r="D40" i="1"/>
  <c r="E44" i="1"/>
  <c r="E43" i="1"/>
  <c r="E42" i="1"/>
  <c r="E41" i="1"/>
  <c r="E40" i="1"/>
  <c r="D112" i="1"/>
  <c r="D113" i="1"/>
  <c r="D114" i="1"/>
  <c r="D115" i="1"/>
  <c r="D111" i="1"/>
  <c r="D106" i="1"/>
  <c r="D107" i="1"/>
  <c r="D108" i="1"/>
  <c r="D109" i="1"/>
  <c r="D105" i="1"/>
  <c r="D100" i="1"/>
  <c r="D101" i="1"/>
  <c r="D102" i="1"/>
  <c r="D103" i="1"/>
  <c r="D99" i="1"/>
  <c r="D94" i="1"/>
  <c r="D95" i="1"/>
  <c r="D96" i="1"/>
  <c r="D97" i="1"/>
  <c r="D93" i="1"/>
  <c r="E115" i="1"/>
  <c r="E114" i="1"/>
  <c r="E113" i="1"/>
  <c r="E112" i="1"/>
  <c r="E111" i="1"/>
  <c r="E109" i="1"/>
  <c r="E108" i="1"/>
  <c r="E107" i="1"/>
  <c r="E106" i="1"/>
  <c r="E105" i="1"/>
  <c r="E103" i="1"/>
  <c r="E102" i="1"/>
  <c r="E101" i="1"/>
  <c r="E100" i="1"/>
  <c r="E99" i="1"/>
  <c r="E97" i="1"/>
  <c r="E96" i="1"/>
  <c r="E95" i="1"/>
  <c r="E94" i="1"/>
  <c r="E93" i="1"/>
  <c r="E10" i="1"/>
  <c r="E34" i="1"/>
  <c r="E35" i="1"/>
  <c r="E36" i="1"/>
  <c r="E37" i="1"/>
  <c r="E33" i="1"/>
  <c r="E23" i="1"/>
  <c r="E24" i="1"/>
  <c r="E25" i="1"/>
  <c r="E26" i="1"/>
  <c r="E22" i="1"/>
  <c r="E17" i="1"/>
  <c r="E18" i="1"/>
  <c r="E19" i="1"/>
  <c r="E20" i="1"/>
  <c r="E16" i="1"/>
  <c r="E11" i="1"/>
  <c r="E12" i="1"/>
  <c r="E13" i="1"/>
  <c r="E14" i="1"/>
  <c r="E4" i="1"/>
  <c r="E5" i="1"/>
  <c r="E6" i="1"/>
  <c r="E7" i="1"/>
  <c r="E3" i="1"/>
  <c r="D23" i="1"/>
  <c r="D24" i="1"/>
  <c r="D25" i="1"/>
  <c r="D26" i="1"/>
  <c r="D22" i="1"/>
  <c r="D16" i="1"/>
  <c r="D17" i="1"/>
  <c r="D18" i="1"/>
  <c r="D19" i="1"/>
  <c r="D20" i="1"/>
  <c r="D10" i="1"/>
  <c r="D11" i="1"/>
  <c r="D12" i="1"/>
  <c r="D13" i="1"/>
  <c r="D14" i="1"/>
  <c r="D3" i="1"/>
  <c r="D4" i="1"/>
  <c r="D5" i="1"/>
  <c r="D6" i="1"/>
  <c r="D7" i="1"/>
</calcChain>
</file>

<file path=xl/sharedStrings.xml><?xml version="1.0" encoding="utf-8"?>
<sst xmlns="http://schemas.openxmlformats.org/spreadsheetml/2006/main" count="100" uniqueCount="45">
  <si>
    <t>Ro</t>
  </si>
  <si>
    <t>R</t>
  </si>
  <si>
    <t>Déformation</t>
  </si>
  <si>
    <t>DeltaR/Ro (Sensibilité)</t>
  </si>
  <si>
    <t>HB</t>
  </si>
  <si>
    <t>2B</t>
  </si>
  <si>
    <t>4B</t>
  </si>
  <si>
    <t>6B</t>
  </si>
  <si>
    <t>e(mm)</t>
  </si>
  <si>
    <t>Radius compression(mm)</t>
  </si>
  <si>
    <t>Vgraphite</t>
  </si>
  <si>
    <t>R2</t>
  </si>
  <si>
    <t>0.67</t>
  </si>
  <si>
    <t>1.21</t>
  </si>
  <si>
    <t>0.68</t>
  </si>
  <si>
    <t>1.69</t>
  </si>
  <si>
    <t>2.90</t>
  </si>
  <si>
    <t>2.87</t>
  </si>
  <si>
    <t>2.65</t>
  </si>
  <si>
    <t>2.13</t>
  </si>
  <si>
    <t>1.85</t>
  </si>
  <si>
    <t>4.38</t>
  </si>
  <si>
    <t>4.54</t>
  </si>
  <si>
    <t>4.58</t>
  </si>
  <si>
    <t>4.41</t>
  </si>
  <si>
    <t>4.53</t>
  </si>
  <si>
    <t>4.70</t>
  </si>
  <si>
    <t>4.71</t>
  </si>
  <si>
    <t>4.51</t>
  </si>
  <si>
    <t>4.85</t>
  </si>
  <si>
    <t>4.82</t>
  </si>
  <si>
    <t>4.86</t>
  </si>
  <si>
    <t>Flex sensor</t>
  </si>
  <si>
    <t>Servo motor</t>
  </si>
  <si>
    <t>Angle</t>
  </si>
  <si>
    <t>Graphite</t>
  </si>
  <si>
    <t>3.05</t>
  </si>
  <si>
    <t>2.94</t>
  </si>
  <si>
    <t>2.75</t>
  </si>
  <si>
    <t>2.44</t>
  </si>
  <si>
    <t>4.12</t>
  </si>
  <si>
    <t>4.42</t>
  </si>
  <si>
    <t>COMPRESSION</t>
  </si>
  <si>
    <t>TENSION</t>
  </si>
  <si>
    <t>FLEX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</si>
</sst>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4E5B61"/>
      <name val="Aptos Narrow"/>
      <family val="2"/>
      <scheme val="minor"/>
    </font>
    <font>
      <sz val="8"/>
      <color rgb="FF4E5B61"/>
      <name val="Arial Unicode MS"/>
      <family val="2"/>
    </font>
    <font>
      <sz val="16"/>
      <color rgb="FFFF0000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3" borderId="0" xfId="0" applyFill="1"/>
    <xf numFmtId="0" fontId="2" fillId="0" borderId="0" xfId="0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2" fillId="6" borderId="0" xfId="0" applyFont="1" applyFill="1"/>
    <xf numFmtId="0" fontId="4" fillId="0" borderId="0" xfId="0" applyFont="1" applyAlignment="1">
      <alignment vertical="center"/>
    </xf>
    <xf numFmtId="0" fontId="0" fillId="7" borderId="0" xfId="0" applyFill="1"/>
    <xf numFmtId="0" fontId="4" fillId="7" borderId="0" xfId="0" applyFont="1" applyFill="1" applyAlignment="1">
      <alignment vertical="center"/>
    </xf>
    <xf numFmtId="0" fontId="4" fillId="0" borderId="0" xfId="0" applyFont="1" applyAlignment="1">
      <alignment horizontal="left" vertical="top"/>
    </xf>
    <xf numFmtId="0" fontId="2" fillId="8" borderId="0" xfId="0" applyFont="1" applyFill="1"/>
    <xf numFmtId="0" fontId="3" fillId="8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43" fontId="2" fillId="8" borderId="0" xfId="1" applyFont="1" applyFill="1"/>
    <xf numFmtId="0" fontId="4" fillId="2" borderId="0" xfId="0" applyFont="1" applyFill="1" applyAlignment="1">
      <alignment vertical="center"/>
    </xf>
    <xf numFmtId="0" fontId="2" fillId="9" borderId="0" xfId="0" applyFont="1" applyFill="1"/>
    <xf numFmtId="0" fontId="4" fillId="9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6" fillId="0" borderId="0" xfId="0" applyFont="1"/>
    <xf numFmtId="0" fontId="2" fillId="10" borderId="0" xfId="0" applyFont="1" applyFill="1"/>
    <xf numFmtId="0" fontId="4" fillId="10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0" fillId="4" borderId="0" xfId="0" applyFill="1"/>
    <xf numFmtId="0" fontId="0" fillId="2" borderId="0" xfId="0" applyFill="1"/>
    <xf numFmtId="0" fontId="8" fillId="0" borderId="0" xfId="0" applyFont="1"/>
    <xf numFmtId="0" fontId="6" fillId="7" borderId="0" xfId="0" applyFont="1" applyFill="1"/>
    <xf numFmtId="0" fontId="8" fillId="7" borderId="0" xfId="0" applyFont="1" applyFill="1"/>
    <xf numFmtId="0" fontId="0" fillId="11" borderId="0" xfId="0" applyFill="1"/>
    <xf numFmtId="0" fontId="0" fillId="11" borderId="0" xfId="0" applyFill="1" applyAlignment="1">
      <alignment horizontal="right" vertical="center"/>
    </xf>
    <xf numFmtId="0" fontId="4" fillId="11" borderId="0" xfId="0" applyFont="1" applyFill="1" applyAlignment="1">
      <alignment vertical="center"/>
    </xf>
    <xf numFmtId="0" fontId="0" fillId="9" borderId="0" xfId="0" applyFill="1"/>
    <xf numFmtId="0" fontId="0" fillId="9" borderId="0" xfId="0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Tension </a:t>
            </a:r>
            <a:endParaRPr lang="en-US"/>
          </a:p>
        </c:rich>
      </c:tx>
      <c:layout>
        <c:manualLayout>
          <c:xMode val="edge"/>
          <c:yMode val="edge"/>
          <c:x val="0.41158631273179019"/>
          <c:y val="1.5082956259426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096653341625727E-2"/>
          <c:y val="9.6479831718484857E-2"/>
          <c:w val="0.73010947158601891"/>
          <c:h val="0.81778788612272701"/>
        </c:manualLayout>
      </c:layout>
      <c:scatterChart>
        <c:scatterStyle val="lineMarker"/>
        <c:varyColors val="0"/>
        <c:ser>
          <c:idx val="2"/>
          <c:order val="0"/>
          <c:tx>
            <c:v>4B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Sheet1!$E$104:$E$109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Sheet1!$D$104:$D$109</c:f>
              <c:numCache>
                <c:formatCode>General</c:formatCode>
                <c:ptCount val="6"/>
                <c:pt idx="0">
                  <c:v>0</c:v>
                </c:pt>
                <c:pt idx="1">
                  <c:v>0.20578402327409914</c:v>
                </c:pt>
                <c:pt idx="2">
                  <c:v>0.24859857193303267</c:v>
                </c:pt>
                <c:pt idx="3">
                  <c:v>0.29260795582444582</c:v>
                </c:pt>
                <c:pt idx="4">
                  <c:v>0.33731106063790417</c:v>
                </c:pt>
                <c:pt idx="5">
                  <c:v>0.40010198954287135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62-4F8B-83CA-379095BA17C3}"/>
            </c:ext>
          </c:extLst>
        </c:ser>
        <c:ser>
          <c:idx val="3"/>
          <c:order val="1"/>
          <c:tx>
            <c:v>6B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Sheet1!$E$110:$E$115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Sheet1!$D$110:$D$115</c:f>
              <c:numCache>
                <c:formatCode>General</c:formatCode>
                <c:ptCount val="6"/>
                <c:pt idx="0">
                  <c:v>0</c:v>
                </c:pt>
                <c:pt idx="1">
                  <c:v>0.18047670107613362</c:v>
                </c:pt>
                <c:pt idx="2">
                  <c:v>0.21270839564465915</c:v>
                </c:pt>
                <c:pt idx="3">
                  <c:v>0.25239795941223608</c:v>
                </c:pt>
                <c:pt idx="4">
                  <c:v>0.30076375787955534</c:v>
                </c:pt>
                <c:pt idx="5">
                  <c:v>0.38503892574791393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62-4F8B-83CA-379095BA17C3}"/>
            </c:ext>
          </c:extLst>
        </c:ser>
        <c:ser>
          <c:idx val="4"/>
          <c:order val="2"/>
          <c:tx>
            <c:v>Flex sensor</c:v>
          </c:tx>
          <c:spPr>
            <a:ln w="19050" cap="rnd">
              <a:gradFill>
                <a:gsLst>
                  <a:gs pos="0">
                    <a:srgbClr val="C00000">
                      <a:lumMod val="99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Sheet1!$E$39:$E$44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Sheet1!$D$39:$D$44</c:f>
              <c:numCache>
                <c:formatCode>General</c:formatCode>
                <c:ptCount val="6"/>
                <c:pt idx="0">
                  <c:v>0</c:v>
                </c:pt>
                <c:pt idx="1">
                  <c:v>0.31039799688961872</c:v>
                </c:pt>
                <c:pt idx="2">
                  <c:v>0.33633687740909579</c:v>
                </c:pt>
                <c:pt idx="3">
                  <c:v>0.35215927135797415</c:v>
                </c:pt>
                <c:pt idx="4">
                  <c:v>0.36817468071665388</c:v>
                </c:pt>
                <c:pt idx="5">
                  <c:v>0.37897468974765008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8B-4D82-85AC-94482E4656A7}"/>
            </c:ext>
          </c:extLst>
        </c:ser>
        <c:ser>
          <c:idx val="0"/>
          <c:order val="3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Sheet1!$E$92:$E$97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Sheet1!$D$92:$D$97</c:f>
              <c:numCache>
                <c:formatCode>General</c:formatCode>
                <c:ptCount val="6"/>
                <c:pt idx="0">
                  <c:v>0</c:v>
                </c:pt>
                <c:pt idx="1">
                  <c:v>0.35639116143408311</c:v>
                </c:pt>
                <c:pt idx="2">
                  <c:v>0.43560577190116279</c:v>
                </c:pt>
                <c:pt idx="3">
                  <c:v>0.45982995135320492</c:v>
                </c:pt>
                <c:pt idx="4">
                  <c:v>0.53998033266532552</c:v>
                </c:pt>
                <c:pt idx="5">
                  <c:v>0.63478213250547288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01-4CC0-86D9-AC29740FE3CA}"/>
            </c:ext>
          </c:extLst>
        </c:ser>
        <c:ser>
          <c:idx val="1"/>
          <c:order val="4"/>
          <c:tx>
            <c:v>2B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Sheet1!$E$98:$E$103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Sheet1!$D$98:$D$103</c:f>
              <c:numCache>
                <c:formatCode>General</c:formatCode>
                <c:ptCount val="6"/>
                <c:pt idx="0">
                  <c:v>0</c:v>
                </c:pt>
                <c:pt idx="1">
                  <c:v>0.23635897203469025</c:v>
                </c:pt>
                <c:pt idx="2">
                  <c:v>0.28073482279172374</c:v>
                </c:pt>
                <c:pt idx="3">
                  <c:v>0.33210816890404715</c:v>
                </c:pt>
                <c:pt idx="4">
                  <c:v>0.44451718628037595</c:v>
                </c:pt>
                <c:pt idx="5">
                  <c:v>0.51543595158028543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1-4CC0-86D9-AC29740FE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613184"/>
        <c:axId val="376613664"/>
      </c:scatterChart>
      <c:valAx>
        <c:axId val="37661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Deformation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664"/>
        <c:crosses val="autoZero"/>
        <c:crossBetween val="midCat"/>
      </c:valAx>
      <c:valAx>
        <c:axId val="3766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∆</a:t>
                </a:r>
                <a:r>
                  <a:rPr lang="vi-VN" sz="1000" b="0" i="0" u="none" strike="noStrike" baseline="0">
                    <a:effectLst/>
                  </a:rPr>
                  <a:t>R/Ro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7.1186309979433295E-3"/>
              <c:y val="0.437128684709244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370920944663016"/>
          <c:y val="0.26319937652272135"/>
          <c:w val="0.19609685237761834"/>
          <c:h val="0.3882350411025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Graphite sensor</a:t>
            </a:r>
            <a:r>
              <a:rPr lang="en-US" baseline="0"/>
              <a:t> HB and Flex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80312245343395"/>
          <c:y val="5.8784621762089581E-2"/>
          <c:w val="0.86522974704830236"/>
          <c:h val="0.89129737532808384"/>
        </c:manualLayout>
      </c:layout>
      <c:scatterChart>
        <c:scatterStyle val="lineMarker"/>
        <c:varyColors val="0"/>
        <c:ser>
          <c:idx val="0"/>
          <c:order val="0"/>
          <c:tx>
            <c:v>120-40 (1)/Graphie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Sheet1!$B$49:$B$53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Sheet1!$C$49:$C$53</c:f>
              <c:numCache>
                <c:formatCode>General</c:formatCode>
                <c:ptCount val="5"/>
                <c:pt idx="0">
                  <c:v>3736144.75</c:v>
                </c:pt>
                <c:pt idx="1">
                  <c:v>3704544.75</c:v>
                </c:pt>
                <c:pt idx="2">
                  <c:v>3612785.75</c:v>
                </c:pt>
                <c:pt idx="3">
                  <c:v>3554027.25</c:v>
                </c:pt>
                <c:pt idx="4">
                  <c:v>3529409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CF-44B1-9DAC-25751E9FB18B}"/>
            </c:ext>
          </c:extLst>
        </c:ser>
        <c:ser>
          <c:idx val="1"/>
          <c:order val="1"/>
          <c:tx>
            <c:v>40-120/Graphie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Sheet1!$B$53:$B$57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Sheet1!$C$53:$C$57</c:f>
              <c:numCache>
                <c:formatCode>General</c:formatCode>
                <c:ptCount val="5"/>
                <c:pt idx="0">
                  <c:v>3529409</c:v>
                </c:pt>
                <c:pt idx="1">
                  <c:v>3541676.5</c:v>
                </c:pt>
                <c:pt idx="2">
                  <c:v>3621334.25</c:v>
                </c:pt>
                <c:pt idx="3">
                  <c:v>3677869.75</c:v>
                </c:pt>
                <c:pt idx="4">
                  <c:v>3700073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BCF-44B1-9DAC-25751E9FB18B}"/>
            </c:ext>
          </c:extLst>
        </c:ser>
        <c:ser>
          <c:idx val="2"/>
          <c:order val="2"/>
          <c:tx>
            <c:v>120-40 (2)/Graphite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Sheet1!$B$57:$B$61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Sheet1!$C$57:$C$61</c:f>
              <c:numCache>
                <c:formatCode>General</c:formatCode>
                <c:ptCount val="5"/>
                <c:pt idx="0">
                  <c:v>3700073</c:v>
                </c:pt>
                <c:pt idx="1">
                  <c:v>3669060.75</c:v>
                </c:pt>
                <c:pt idx="2">
                  <c:v>3634230.75</c:v>
                </c:pt>
                <c:pt idx="3">
                  <c:v>3578980.75</c:v>
                </c:pt>
                <c:pt idx="4">
                  <c:v>3465349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F3-46D7-A5B5-C8C306160362}"/>
            </c:ext>
          </c:extLst>
        </c:ser>
        <c:ser>
          <c:idx val="3"/>
          <c:order val="3"/>
          <c:tx>
            <c:v>120-40 (1)/Flex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Sheet1!$B$66:$B$70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Sheet1!$C$66:$C$70</c:f>
              <c:numCache>
                <c:formatCode>General</c:formatCode>
                <c:ptCount val="5"/>
                <c:pt idx="0">
                  <c:v>23867.4</c:v>
                </c:pt>
                <c:pt idx="1">
                  <c:v>24055.45</c:v>
                </c:pt>
                <c:pt idx="2">
                  <c:v>24244.9</c:v>
                </c:pt>
                <c:pt idx="3">
                  <c:v>24435.759999999998</c:v>
                </c:pt>
                <c:pt idx="4">
                  <c:v>24919.17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3-46D7-A5B5-C8C306160362}"/>
            </c:ext>
          </c:extLst>
        </c:ser>
        <c:ser>
          <c:idx val="4"/>
          <c:order val="4"/>
          <c:tx>
            <c:v>40-120/Flex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Sheet1!$B$70:$B$74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Sheet1!$C$70:$C$74</c:f>
              <c:numCache>
                <c:formatCode>General</c:formatCode>
                <c:ptCount val="5"/>
                <c:pt idx="0">
                  <c:v>24919.17</c:v>
                </c:pt>
                <c:pt idx="1">
                  <c:v>24531.72</c:v>
                </c:pt>
                <c:pt idx="2">
                  <c:v>24340.15</c:v>
                </c:pt>
                <c:pt idx="3">
                  <c:v>24150</c:v>
                </c:pt>
                <c:pt idx="4">
                  <c:v>24055.45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F3-46D7-A5B5-C8C306160362}"/>
            </c:ext>
          </c:extLst>
        </c:ser>
        <c:ser>
          <c:idx val="5"/>
          <c:order val="5"/>
          <c:tx>
            <c:v>120-40 (2)/Flex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Sheet1!$B$74:$B$78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Sheet1!$C$74:$C$78</c:f>
              <c:numCache>
                <c:formatCode>General</c:formatCode>
                <c:ptCount val="5"/>
                <c:pt idx="0">
                  <c:v>24055.45</c:v>
                </c:pt>
                <c:pt idx="1">
                  <c:v>24150</c:v>
                </c:pt>
                <c:pt idx="2">
                  <c:v>24244.9</c:v>
                </c:pt>
                <c:pt idx="3">
                  <c:v>24531.72</c:v>
                </c:pt>
                <c:pt idx="4">
                  <c:v>24919.17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F3-46D7-A5B5-C8C30616036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319159471"/>
        <c:axId val="1319176271"/>
      </c:scatterChart>
      <c:valAx>
        <c:axId val="13191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9176271"/>
        <c:crosses val="autoZero"/>
        <c:crossBetween val="midCat"/>
      </c:valAx>
      <c:valAx>
        <c:axId val="131917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9159471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300946185534074"/>
          <c:y val="0.16841086497720584"/>
          <c:w val="0.63155920272149457"/>
          <c:h val="0.63487531404329012"/>
        </c:manualLayout>
      </c:layout>
      <c:scatterChart>
        <c:scatterStyle val="lineMarker"/>
        <c:varyColors val="0"/>
        <c:ser>
          <c:idx val="0"/>
          <c:order val="0"/>
          <c:tx>
            <c:v>120-40 (1)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Sheet1!$B$66:$B$70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Sheet1!$C$66:$C$70</c:f>
              <c:numCache>
                <c:formatCode>General</c:formatCode>
                <c:ptCount val="5"/>
                <c:pt idx="0">
                  <c:v>23867.4</c:v>
                </c:pt>
                <c:pt idx="1">
                  <c:v>24055.45</c:v>
                </c:pt>
                <c:pt idx="2">
                  <c:v>24244.9</c:v>
                </c:pt>
                <c:pt idx="3">
                  <c:v>24435.759999999998</c:v>
                </c:pt>
                <c:pt idx="4">
                  <c:v>24919.17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AE-4042-8A06-65746F3C6982}"/>
            </c:ext>
          </c:extLst>
        </c:ser>
        <c:ser>
          <c:idx val="1"/>
          <c:order val="1"/>
          <c:tx>
            <c:v>40-120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Sheet1!$B$70:$B$74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Sheet1!$C$70:$C$74</c:f>
              <c:numCache>
                <c:formatCode>General</c:formatCode>
                <c:ptCount val="5"/>
                <c:pt idx="0">
                  <c:v>24919.17</c:v>
                </c:pt>
                <c:pt idx="1">
                  <c:v>24531.72</c:v>
                </c:pt>
                <c:pt idx="2">
                  <c:v>24340.15</c:v>
                </c:pt>
                <c:pt idx="3">
                  <c:v>24150</c:v>
                </c:pt>
                <c:pt idx="4">
                  <c:v>24055.45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E-4042-8A06-65746F3C6982}"/>
            </c:ext>
          </c:extLst>
        </c:ser>
        <c:ser>
          <c:idx val="2"/>
          <c:order val="2"/>
          <c:tx>
            <c:v>120-40 (2)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Sheet1!$B$74:$B$78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Sheet1!$C$74:$C$78</c:f>
              <c:numCache>
                <c:formatCode>General</c:formatCode>
                <c:ptCount val="5"/>
                <c:pt idx="0">
                  <c:v>24055.45</c:v>
                </c:pt>
                <c:pt idx="1">
                  <c:v>24150</c:v>
                </c:pt>
                <c:pt idx="2">
                  <c:v>24244.9</c:v>
                </c:pt>
                <c:pt idx="3">
                  <c:v>24531.72</c:v>
                </c:pt>
                <c:pt idx="4">
                  <c:v>24919.17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AE-4042-8A06-65746F3C6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462911"/>
        <c:axId val="1296465311"/>
      </c:scatterChart>
      <c:valAx>
        <c:axId val="129646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465311"/>
        <c:crosses val="autoZero"/>
        <c:crossBetween val="midCat"/>
      </c:valAx>
      <c:valAx>
        <c:axId val="129646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46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Graphite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498842880099862"/>
          <c:y val="0.14791745364771303"/>
          <c:w val="0.62326117965214434"/>
          <c:h val="0.7200334096271549"/>
        </c:manualLayout>
      </c:layout>
      <c:scatterChart>
        <c:scatterStyle val="lineMarker"/>
        <c:varyColors val="0"/>
        <c:ser>
          <c:idx val="0"/>
          <c:order val="0"/>
          <c:tx>
            <c:v>120-40 (1)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Sheet1!$B$49:$B$53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Sheet1!$C$49:$C$53</c:f>
              <c:numCache>
                <c:formatCode>General</c:formatCode>
                <c:ptCount val="5"/>
                <c:pt idx="0">
                  <c:v>3736144.75</c:v>
                </c:pt>
                <c:pt idx="1">
                  <c:v>3704544.75</c:v>
                </c:pt>
                <c:pt idx="2">
                  <c:v>3612785.75</c:v>
                </c:pt>
                <c:pt idx="3">
                  <c:v>3554027.25</c:v>
                </c:pt>
                <c:pt idx="4">
                  <c:v>3529409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72-458C-8ABC-E15E9BE69B8A}"/>
            </c:ext>
          </c:extLst>
        </c:ser>
        <c:ser>
          <c:idx val="1"/>
          <c:order val="1"/>
          <c:tx>
            <c:v>40-120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Sheet1!$B$53:$B$57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Sheet1!$C$53:$C$57</c:f>
              <c:numCache>
                <c:formatCode>General</c:formatCode>
                <c:ptCount val="5"/>
                <c:pt idx="0">
                  <c:v>3529409</c:v>
                </c:pt>
                <c:pt idx="1">
                  <c:v>3541676.5</c:v>
                </c:pt>
                <c:pt idx="2">
                  <c:v>3621334.25</c:v>
                </c:pt>
                <c:pt idx="3">
                  <c:v>3677869.75</c:v>
                </c:pt>
                <c:pt idx="4">
                  <c:v>3700073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72-458C-8ABC-E15E9BE69B8A}"/>
            </c:ext>
          </c:extLst>
        </c:ser>
        <c:ser>
          <c:idx val="2"/>
          <c:order val="2"/>
          <c:tx>
            <c:v>120-40 (2)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Sheet1!$B$57:$B$61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Sheet1!$C$57:$C$61</c:f>
              <c:numCache>
                <c:formatCode>General</c:formatCode>
                <c:ptCount val="5"/>
                <c:pt idx="0">
                  <c:v>3700073</c:v>
                </c:pt>
                <c:pt idx="1">
                  <c:v>3669060.75</c:v>
                </c:pt>
                <c:pt idx="2">
                  <c:v>3634230.75</c:v>
                </c:pt>
                <c:pt idx="3">
                  <c:v>3578980.75</c:v>
                </c:pt>
                <c:pt idx="4">
                  <c:v>3465349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72-458C-8ABC-E15E9BE69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239247"/>
        <c:axId val="1425228687"/>
      </c:scatterChart>
      <c:valAx>
        <c:axId val="1425239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28687"/>
        <c:crosses val="autoZero"/>
        <c:crossBetween val="midCat"/>
      </c:valAx>
      <c:valAx>
        <c:axId val="142522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39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Compression</a:t>
            </a:r>
          </a:p>
        </c:rich>
      </c:tx>
      <c:layout>
        <c:manualLayout>
          <c:xMode val="edge"/>
          <c:yMode val="edge"/>
          <c:x val="0.43187163150980906"/>
          <c:y val="6.54450261780104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2594367863759E-2"/>
          <c:y val="7.1696338406424795E-2"/>
          <c:w val="0.71794404547355661"/>
          <c:h val="0.88332607285571096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Sheet1!$E$2:$E$7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0</c:v>
                </c:pt>
                <c:pt idx="1">
                  <c:v>-0.65800238184169657</c:v>
                </c:pt>
                <c:pt idx="2">
                  <c:v>-0.66872047652620781</c:v>
                </c:pt>
                <c:pt idx="3">
                  <c:v>-0.67615287946199265</c:v>
                </c:pt>
                <c:pt idx="4">
                  <c:v>-0.69143803226504197</c:v>
                </c:pt>
                <c:pt idx="5">
                  <c:v>-0.70895944126813171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CB-4A55-8A60-4D7307D9B4A1}"/>
            </c:ext>
          </c:extLst>
        </c:ser>
        <c:ser>
          <c:idx val="1"/>
          <c:order val="1"/>
          <c:tx>
            <c:v>Flex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Sheet1!$E$32:$E$37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Sheet1!$D$32:$D$37</c:f>
              <c:numCache>
                <c:formatCode>General</c:formatCode>
                <c:ptCount val="6"/>
                <c:pt idx="0">
                  <c:v>0</c:v>
                </c:pt>
                <c:pt idx="1">
                  <c:v>-0.54777911111111111</c:v>
                </c:pt>
                <c:pt idx="2">
                  <c:v>-0.57403955555555553</c:v>
                </c:pt>
                <c:pt idx="3">
                  <c:v>-0.59108799999999995</c:v>
                </c:pt>
                <c:pt idx="4">
                  <c:v>-0.639768</c:v>
                </c:pt>
                <c:pt idx="5">
                  <c:v>-0.69189199999999995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CB-4A55-8A60-4D7307D9B4A1}"/>
            </c:ext>
          </c:extLst>
        </c:ser>
        <c:ser>
          <c:idx val="2"/>
          <c:order val="2"/>
          <c:tx>
            <c:v>2B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Sheet1!$E$9:$E$14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Sheet1!$D$9:$D$14</c:f>
              <c:numCache>
                <c:formatCode>General</c:formatCode>
                <c:ptCount val="6"/>
                <c:pt idx="0">
                  <c:v>0</c:v>
                </c:pt>
                <c:pt idx="1">
                  <c:v>-0.32892163223867499</c:v>
                </c:pt>
                <c:pt idx="2">
                  <c:v>-0.36847616738523603</c:v>
                </c:pt>
                <c:pt idx="3">
                  <c:v>-0.3826446844681079</c:v>
                </c:pt>
                <c:pt idx="4">
                  <c:v>-0.41178303319266357</c:v>
                </c:pt>
                <c:pt idx="5">
                  <c:v>-0.44518439543326527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CB-4A55-8A60-4D7307D9B4A1}"/>
            </c:ext>
          </c:extLst>
        </c:ser>
        <c:ser>
          <c:idx val="3"/>
          <c:order val="3"/>
          <c:tx>
            <c:v>4B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Sheet1!$E$15:$E$20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Sheet1!$D$15:$D$20</c:f>
              <c:numCache>
                <c:formatCode>General</c:formatCode>
                <c:ptCount val="6"/>
                <c:pt idx="0">
                  <c:v>0</c:v>
                </c:pt>
                <c:pt idx="1">
                  <c:v>-0.13326830767150816</c:v>
                </c:pt>
                <c:pt idx="2">
                  <c:v>-0.14608820375417497</c:v>
                </c:pt>
                <c:pt idx="3">
                  <c:v>-0.15738145527283678</c:v>
                </c:pt>
                <c:pt idx="4">
                  <c:v>-0.18337322669157569</c:v>
                </c:pt>
                <c:pt idx="5">
                  <c:v>-0.20799137197304662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BC-409D-935A-82A2B5E63F50}"/>
            </c:ext>
          </c:extLst>
        </c:ser>
        <c:ser>
          <c:idx val="4"/>
          <c:order val="4"/>
          <c:tx>
            <c:v>6B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Sheet1!$E$21:$E$26</c:f>
              <c:numCache>
                <c:formatCode>General</c:formatCode>
                <c:ptCount val="6"/>
                <c:pt idx="0">
                  <c:v>0</c:v>
                </c:pt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Sheet1!$D$21:$D$26</c:f>
              <c:numCache>
                <c:formatCode>General</c:formatCode>
                <c:ptCount val="6"/>
                <c:pt idx="0">
                  <c:v>0</c:v>
                </c:pt>
                <c:pt idx="1">
                  <c:v>-7.1710237246169137E-2</c:v>
                </c:pt>
                <c:pt idx="2">
                  <c:v>-0.14279611579131113</c:v>
                </c:pt>
                <c:pt idx="3">
                  <c:v>-0.16476442489084264</c:v>
                </c:pt>
                <c:pt idx="4">
                  <c:v>-0.19644328739159103</c:v>
                </c:pt>
                <c:pt idx="5">
                  <c:v>-0.20638373429797591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BC-409D-935A-82A2B5E63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351135"/>
        <c:axId val="1264351615"/>
      </c:scatterChart>
      <c:valAx>
        <c:axId val="126435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Deformation</a:t>
                </a:r>
              </a:p>
            </c:rich>
          </c:tx>
          <c:layout>
            <c:manualLayout>
              <c:xMode val="edge"/>
              <c:yMode val="edge"/>
              <c:x val="0.4041751729922663"/>
              <c:y val="0.950245290019375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615"/>
        <c:crosses val="autoZero"/>
        <c:crossBetween val="midCat"/>
      </c:valAx>
      <c:valAx>
        <c:axId val="126435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∆</a:t>
                </a:r>
                <a:r>
                  <a:rPr lang="vi-V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R/Ro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110987</xdr:colOff>
      <xdr:row>25</xdr:row>
      <xdr:rowOff>119935</xdr:rowOff>
    </xdr:from>
    <xdr:to>
      <xdr:col>25</xdr:col>
      <xdr:colOff>213360</xdr:colOff>
      <xdr:row>48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34D6B6-E695-1305-CAC0-99032B5F8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222338</xdr:colOff>
      <xdr:row>61</xdr:row>
      <xdr:rowOff>9937</xdr:rowOff>
    </xdr:from>
    <xdr:to>
      <xdr:col>27</xdr:col>
      <xdr:colOff>131488</xdr:colOff>
      <xdr:row>87</xdr:row>
      <xdr:rowOff>54758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12F7D7-E6D4-08F5-234C-A978DEE4C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579120</xdr:colOff>
      <xdr:row>79</xdr:row>
      <xdr:rowOff>4795</xdr:rowOff>
    </xdr:from>
    <xdr:to>
      <xdr:col>15</xdr:col>
      <xdr:colOff>308534</xdr:colOff>
      <xdr:row>94</xdr:row>
      <xdr:rowOff>172720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39BAEC-2E3F-28EF-6DC8-DCB7E2586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599440</xdr:colOff>
      <xdr:row>62</xdr:row>
      <xdr:rowOff>235236</xdr:rowOff>
    </xdr:from>
    <xdr:to>
      <xdr:col>15</xdr:col>
      <xdr:colOff>193427</xdr:colOff>
      <xdr:row>78</xdr:row>
      <xdr:rowOff>142240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11468C1-DA34-A71B-061D-2C1F54ABE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158052</xdr:colOff>
      <xdr:row>3</xdr:row>
      <xdr:rowOff>1</xdr:rowOff>
    </xdr:from>
    <xdr:to>
      <xdr:col>25</xdr:col>
      <xdr:colOff>233680</xdr:colOff>
      <xdr:row>22</xdr:row>
      <xdr:rowOff>20321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6FF518-601F-220D-233B-BE026DEEF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ECD-CEA4-4140-9D69-0F9C0C2F40A5}">
  <dimension ref="A1:M115"/>
  <sheetViews>
    <sheetView tabSelected="1" zoomScale="75" zoomScaleNormal="75" workbookViewId="0">
      <selection activeCell="N95" sqref="N95"/>
    </sheetView>
  </sheetViews>
  <sheetFormatPr defaultRowHeight="14.4" x14ac:dyDescent="0.3"/>
  <cols>
    <col min="1" max="1" width="10.6640625" customWidth="1"/>
    <col min="2" max="2" width="28.44140625" customWidth="1"/>
    <col min="3" max="3" width="9.88671875" bestFit="1" customWidth="1"/>
    <col min="4" max="4" width="21.109375" customWidth="1"/>
    <col min="5" max="5" width="14" customWidth="1"/>
    <col min="6" max="9" width="9" bestFit="1" customWidth="1"/>
    <col min="10" max="10" width="11.44140625" customWidth="1"/>
    <col min="11" max="11" width="9" bestFit="1" customWidth="1"/>
  </cols>
  <sheetData>
    <row r="1" spans="1:13" ht="15.6" x14ac:dyDescent="0.3">
      <c r="A1" s="2"/>
      <c r="B1" s="2" t="s">
        <v>9</v>
      </c>
      <c r="C1" s="2" t="s">
        <v>1</v>
      </c>
      <c r="D1" s="2" t="s">
        <v>3</v>
      </c>
      <c r="E1" s="2" t="s">
        <v>2</v>
      </c>
      <c r="F1" s="2" t="s">
        <v>0</v>
      </c>
      <c r="G1" s="2" t="s">
        <v>8</v>
      </c>
      <c r="H1" s="13" t="s">
        <v>10</v>
      </c>
      <c r="I1" s="13" t="s">
        <v>11</v>
      </c>
      <c r="J1" s="13"/>
      <c r="K1" s="13"/>
      <c r="M1" s="1"/>
    </row>
    <row r="2" spans="1:13" ht="15.6" x14ac:dyDescent="0.3">
      <c r="A2" s="3"/>
      <c r="B2" s="3"/>
      <c r="C2" s="3"/>
      <c r="D2" s="3">
        <v>0</v>
      </c>
      <c r="E2" s="3">
        <v>0</v>
      </c>
      <c r="F2" s="3"/>
      <c r="G2" s="3"/>
      <c r="H2" s="13"/>
      <c r="I2" s="13"/>
      <c r="J2" s="13"/>
      <c r="K2" s="13"/>
      <c r="M2" s="1"/>
    </row>
    <row r="3" spans="1:13" ht="15.6" x14ac:dyDescent="0.3">
      <c r="A3" s="3"/>
      <c r="B3" s="3">
        <v>22.5</v>
      </c>
      <c r="C3" s="17">
        <v>779883.93</v>
      </c>
      <c r="D3" s="3">
        <f>(C3-$F$3)/$F$3</f>
        <v>-0.65800238184169657</v>
      </c>
      <c r="E3" s="3">
        <f>$G$3/(2*B3+$G$3)</f>
        <v>1.098901098901099E-2</v>
      </c>
      <c r="F3" s="17">
        <v>2280378.25</v>
      </c>
      <c r="G3" s="3">
        <v>0.5</v>
      </c>
      <c r="H3" s="14">
        <v>1.02</v>
      </c>
      <c r="I3" s="15">
        <v>17312</v>
      </c>
      <c r="J3" s="13"/>
      <c r="K3" s="13"/>
      <c r="M3" s="1"/>
    </row>
    <row r="4" spans="1:13" ht="15.6" x14ac:dyDescent="0.3">
      <c r="A4" s="3"/>
      <c r="B4" s="3">
        <v>20</v>
      </c>
      <c r="C4" s="17">
        <v>755442.62</v>
      </c>
      <c r="D4" s="3">
        <f t="shared" ref="D4:D7" si="0">(C4-$F$3)/$F$3</f>
        <v>-0.66872047652620781</v>
      </c>
      <c r="E4" s="3">
        <f t="shared" ref="E4:E7" si="1">$G$3/(2*B4+$G$3)</f>
        <v>1.2345679012345678E-2</v>
      </c>
      <c r="F4" s="3"/>
      <c r="G4" s="3"/>
      <c r="H4" s="14" t="s">
        <v>12</v>
      </c>
      <c r="I4" s="15">
        <v>17312</v>
      </c>
      <c r="J4" s="13"/>
      <c r="K4" s="13"/>
      <c r="M4" s="1"/>
    </row>
    <row r="5" spans="1:13" ht="15.6" x14ac:dyDescent="0.3">
      <c r="A5" s="3" t="s">
        <v>4</v>
      </c>
      <c r="B5" s="3">
        <v>17.5</v>
      </c>
      <c r="C5" s="17">
        <v>738493.93</v>
      </c>
      <c r="D5" s="3">
        <f t="shared" si="0"/>
        <v>-0.67615287946199265</v>
      </c>
      <c r="E5" s="3">
        <f t="shared" si="1"/>
        <v>1.4084507042253521E-2</v>
      </c>
      <c r="F5" s="3"/>
      <c r="G5" s="3"/>
      <c r="H5" s="14" t="s">
        <v>14</v>
      </c>
      <c r="I5" s="15">
        <v>17312</v>
      </c>
      <c r="J5" s="13"/>
      <c r="K5" s="13"/>
      <c r="M5" s="1"/>
    </row>
    <row r="6" spans="1:13" ht="15.6" x14ac:dyDescent="0.3">
      <c r="A6" s="3"/>
      <c r="B6" s="3">
        <v>15</v>
      </c>
      <c r="C6" s="17">
        <v>703638</v>
      </c>
      <c r="D6" s="3">
        <f t="shared" si="0"/>
        <v>-0.69143803226504197</v>
      </c>
      <c r="E6" s="3">
        <f t="shared" si="1"/>
        <v>1.6393442622950821E-2</v>
      </c>
      <c r="F6" s="3"/>
      <c r="G6" s="3"/>
      <c r="H6" s="14" t="s">
        <v>15</v>
      </c>
      <c r="I6" s="15">
        <v>17312</v>
      </c>
      <c r="J6" s="13"/>
      <c r="K6" s="13"/>
      <c r="M6" s="1"/>
    </row>
    <row r="7" spans="1:13" ht="15.6" x14ac:dyDescent="0.3">
      <c r="A7" s="3"/>
      <c r="B7" s="3">
        <v>12.5</v>
      </c>
      <c r="C7" s="17">
        <v>663682.56000000006</v>
      </c>
      <c r="D7" s="3">
        <f t="shared" si="0"/>
        <v>-0.70895944126813171</v>
      </c>
      <c r="E7" s="3">
        <f t="shared" si="1"/>
        <v>1.9607843137254902E-2</v>
      </c>
      <c r="F7" s="3"/>
      <c r="G7" s="3"/>
      <c r="H7" s="14" t="s">
        <v>13</v>
      </c>
      <c r="I7" s="15">
        <v>17312</v>
      </c>
      <c r="J7" s="13" t="s">
        <v>10</v>
      </c>
      <c r="K7" s="13" t="s">
        <v>11</v>
      </c>
    </row>
    <row r="8" spans="1:13" ht="15.6" x14ac:dyDescent="0.3">
      <c r="A8" s="3"/>
      <c r="B8" s="3"/>
      <c r="C8" s="17"/>
      <c r="D8" s="3"/>
      <c r="E8" s="3"/>
      <c r="F8" s="3"/>
      <c r="G8" s="3"/>
      <c r="H8" s="14"/>
      <c r="I8" s="15"/>
      <c r="J8" s="13"/>
      <c r="K8" s="13"/>
    </row>
    <row r="9" spans="1:13" ht="15.6" x14ac:dyDescent="0.3">
      <c r="A9" s="18"/>
      <c r="B9" s="18"/>
      <c r="C9" s="19"/>
      <c r="D9" s="18">
        <v>0</v>
      </c>
      <c r="E9" s="18">
        <v>0</v>
      </c>
      <c r="F9" s="18"/>
      <c r="G9" s="18"/>
      <c r="H9" s="14"/>
      <c r="I9" s="15"/>
      <c r="J9" s="13"/>
      <c r="K9" s="13"/>
    </row>
    <row r="10" spans="1:13" ht="15.6" x14ac:dyDescent="0.3">
      <c r="A10" s="18"/>
      <c r="B10" s="18">
        <v>22.5</v>
      </c>
      <c r="C10" s="19">
        <v>802758.62</v>
      </c>
      <c r="D10" s="18">
        <f>(C10-$F$10)/$F$10</f>
        <v>-0.32892163223867499</v>
      </c>
      <c r="E10" s="18">
        <f>$G$3/(2*B10+$G$3)</f>
        <v>1.098901098901099E-2</v>
      </c>
      <c r="F10" s="19">
        <v>1196221.8700000001</v>
      </c>
      <c r="G10" s="18"/>
      <c r="H10" s="14" t="s">
        <v>17</v>
      </c>
      <c r="I10" s="15">
        <v>13796</v>
      </c>
      <c r="J10" s="14" t="s">
        <v>16</v>
      </c>
      <c r="K10" s="14">
        <v>7937</v>
      </c>
    </row>
    <row r="11" spans="1:13" ht="15.6" x14ac:dyDescent="0.3">
      <c r="A11" s="18"/>
      <c r="B11" s="18">
        <v>20</v>
      </c>
      <c r="C11" s="19">
        <v>755442.62</v>
      </c>
      <c r="D11" s="18">
        <f t="shared" ref="D11:D14" si="2">(C11-$F$10)/$F$10</f>
        <v>-0.36847616738523603</v>
      </c>
      <c r="E11" s="18">
        <f t="shared" ref="E11:E14" si="3">$G$3/(2*B11+$G$3)</f>
        <v>1.2345679012345678E-2</v>
      </c>
      <c r="F11" s="18"/>
      <c r="G11" s="18"/>
      <c r="H11" s="14" t="s">
        <v>18</v>
      </c>
      <c r="I11" s="15">
        <v>13796</v>
      </c>
      <c r="J11" s="13"/>
      <c r="K11" s="13"/>
    </row>
    <row r="12" spans="1:13" ht="23.4" x14ac:dyDescent="0.45">
      <c r="A12" s="18" t="s">
        <v>5</v>
      </c>
      <c r="B12" s="18">
        <v>17.5</v>
      </c>
      <c r="C12" s="19">
        <v>738493.93</v>
      </c>
      <c r="D12" s="18">
        <f t="shared" si="2"/>
        <v>-0.3826446844681079</v>
      </c>
      <c r="E12" s="18">
        <f t="shared" si="3"/>
        <v>1.4084507042253521E-2</v>
      </c>
      <c r="F12" s="18"/>
      <c r="G12" s="18"/>
      <c r="H12" s="14" t="s">
        <v>18</v>
      </c>
      <c r="I12" s="15">
        <v>13796</v>
      </c>
      <c r="J12" s="13"/>
      <c r="K12" s="13"/>
      <c r="L12" s="22" t="s">
        <v>42</v>
      </c>
    </row>
    <row r="13" spans="1:13" ht="21" x14ac:dyDescent="0.4">
      <c r="A13" s="18"/>
      <c r="B13" s="18">
        <v>15</v>
      </c>
      <c r="C13" s="19">
        <v>703638</v>
      </c>
      <c r="D13" s="18">
        <f t="shared" si="2"/>
        <v>-0.41178303319266357</v>
      </c>
      <c r="E13" s="18">
        <f t="shared" si="3"/>
        <v>1.6393442622950821E-2</v>
      </c>
      <c r="F13" s="18"/>
      <c r="G13" s="18"/>
      <c r="H13" s="14" t="s">
        <v>19</v>
      </c>
      <c r="I13" s="15">
        <v>13796</v>
      </c>
      <c r="J13" s="13"/>
      <c r="K13" s="13"/>
      <c r="L13" s="28" t="s">
        <v>35</v>
      </c>
    </row>
    <row r="14" spans="1:13" ht="15.6" x14ac:dyDescent="0.3">
      <c r="A14" s="18"/>
      <c r="B14" s="18">
        <v>12.5</v>
      </c>
      <c r="C14" s="19">
        <v>663682.56000000006</v>
      </c>
      <c r="D14" s="18">
        <f t="shared" si="2"/>
        <v>-0.44518439543326527</v>
      </c>
      <c r="E14" s="18">
        <f t="shared" si="3"/>
        <v>1.9607843137254902E-2</v>
      </c>
      <c r="F14" s="18"/>
      <c r="G14" s="18"/>
      <c r="H14" s="14" t="s">
        <v>20</v>
      </c>
      <c r="I14" s="15">
        <v>13796</v>
      </c>
      <c r="J14" s="13" t="s">
        <v>10</v>
      </c>
      <c r="K14" s="13" t="s">
        <v>11</v>
      </c>
    </row>
    <row r="15" spans="1:13" ht="15.6" x14ac:dyDescent="0.3">
      <c r="A15" s="4"/>
      <c r="B15" s="4"/>
      <c r="C15" s="20"/>
      <c r="D15" s="4">
        <v>0</v>
      </c>
      <c r="E15" s="4">
        <v>0</v>
      </c>
      <c r="F15" s="4"/>
      <c r="G15" s="4"/>
      <c r="H15" s="14"/>
      <c r="I15" s="15"/>
      <c r="J15" s="13"/>
      <c r="K15" s="13"/>
    </row>
    <row r="16" spans="1:13" ht="15.6" x14ac:dyDescent="0.3">
      <c r="A16" s="4"/>
      <c r="B16" s="4">
        <v>22.5</v>
      </c>
      <c r="C16" s="20">
        <v>352598.37</v>
      </c>
      <c r="D16" s="4">
        <f>(C16-$F$16)/$F$16</f>
        <v>-0.13326830767150816</v>
      </c>
      <c r="E16" s="4">
        <f>$G$3/(2*B16+$G$3)</f>
        <v>1.098901098901099E-2</v>
      </c>
      <c r="F16" s="20">
        <v>406813.75</v>
      </c>
      <c r="G16" s="4"/>
      <c r="H16" s="14" t="s">
        <v>22</v>
      </c>
      <c r="I16" s="14">
        <v>23562</v>
      </c>
      <c r="J16" s="14" t="s">
        <v>21</v>
      </c>
      <c r="K16" s="14">
        <v>29031</v>
      </c>
    </row>
    <row r="17" spans="1:11" ht="15.6" x14ac:dyDescent="0.3">
      <c r="A17" s="4"/>
      <c r="B17" s="4">
        <v>20</v>
      </c>
      <c r="C17" s="20">
        <v>347383.06</v>
      </c>
      <c r="D17" s="4">
        <f t="shared" ref="D17:D20" si="4">(C17-$F$16)/$F$16</f>
        <v>-0.14608820375417497</v>
      </c>
      <c r="E17" s="4">
        <f t="shared" ref="E17:E20" si="5">$G$3/(2*B17+$G$3)</f>
        <v>1.2345679012345678E-2</v>
      </c>
      <c r="F17" s="4"/>
      <c r="G17" s="4"/>
      <c r="H17" s="14" t="s">
        <v>23</v>
      </c>
      <c r="I17" s="14">
        <v>23171</v>
      </c>
      <c r="J17" s="13"/>
      <c r="K17" s="13"/>
    </row>
    <row r="18" spans="1:11" ht="15.6" x14ac:dyDescent="0.3">
      <c r="A18" s="4" t="s">
        <v>6</v>
      </c>
      <c r="B18" s="4">
        <v>17.5</v>
      </c>
      <c r="C18" s="20">
        <v>342788.81</v>
      </c>
      <c r="D18" s="4">
        <f t="shared" si="4"/>
        <v>-0.15738145527283678</v>
      </c>
      <c r="E18" s="4">
        <f t="shared" si="5"/>
        <v>1.4084507042253521E-2</v>
      </c>
      <c r="F18" s="4"/>
      <c r="G18" s="4"/>
      <c r="H18" s="14" t="s">
        <v>22</v>
      </c>
      <c r="I18" s="14">
        <v>23171</v>
      </c>
      <c r="J18" s="13"/>
      <c r="K18" s="13"/>
    </row>
    <row r="19" spans="1:11" ht="15.6" x14ac:dyDescent="0.3">
      <c r="A19" s="4"/>
      <c r="B19" s="4">
        <v>15</v>
      </c>
      <c r="C19" s="6">
        <v>332215</v>
      </c>
      <c r="D19" s="4">
        <f t="shared" si="4"/>
        <v>-0.18337322669157569</v>
      </c>
      <c r="E19" s="4">
        <f t="shared" si="5"/>
        <v>1.6393442622950821E-2</v>
      </c>
      <c r="F19" s="4"/>
      <c r="G19" s="4"/>
      <c r="H19" s="14" t="s">
        <v>24</v>
      </c>
      <c r="I19" s="14">
        <v>23171</v>
      </c>
      <c r="J19" s="13"/>
      <c r="K19" s="13"/>
    </row>
    <row r="20" spans="1:11" ht="15.6" x14ac:dyDescent="0.3">
      <c r="A20" s="4"/>
      <c r="B20" s="4">
        <v>12.5</v>
      </c>
      <c r="C20" s="6">
        <v>322200</v>
      </c>
      <c r="D20" s="4">
        <f t="shared" si="4"/>
        <v>-0.20799137197304662</v>
      </c>
      <c r="E20" s="4">
        <f t="shared" si="5"/>
        <v>1.9607843137254902E-2</v>
      </c>
      <c r="F20" s="4"/>
      <c r="G20" s="4"/>
      <c r="H20" s="14" t="s">
        <v>25</v>
      </c>
      <c r="I20" s="14">
        <v>20828</v>
      </c>
      <c r="J20" s="13" t="s">
        <v>10</v>
      </c>
      <c r="K20" s="13" t="s">
        <v>11</v>
      </c>
    </row>
    <row r="21" spans="1:11" ht="15.6" x14ac:dyDescent="0.3">
      <c r="A21" s="5"/>
      <c r="B21" s="5"/>
      <c r="C21" s="7"/>
      <c r="D21" s="5">
        <v>0</v>
      </c>
      <c r="E21" s="5">
        <v>0</v>
      </c>
      <c r="F21" s="5"/>
      <c r="G21" s="5"/>
      <c r="H21" s="14"/>
      <c r="I21" s="14"/>
      <c r="J21" s="13"/>
      <c r="K21" s="13"/>
    </row>
    <row r="22" spans="1:11" ht="15.6" x14ac:dyDescent="0.3">
      <c r="A22" s="5"/>
      <c r="B22" s="5">
        <v>22.5</v>
      </c>
      <c r="C22" s="21">
        <v>293031.28000000003</v>
      </c>
      <c r="D22" s="5">
        <f>(C22-$F$22)/$F$22</f>
        <v>-7.1710237246169137E-2</v>
      </c>
      <c r="E22" s="5">
        <f>$G$3/(2*B22+$G$3)</f>
        <v>1.098901098901099E-2</v>
      </c>
      <c r="F22" s="21">
        <v>315667.90000000002</v>
      </c>
      <c r="G22" s="5"/>
      <c r="H22" s="14" t="s">
        <v>27</v>
      </c>
      <c r="I22" s="14">
        <v>24343</v>
      </c>
      <c r="J22" s="14" t="s">
        <v>26</v>
      </c>
      <c r="K22" s="14">
        <v>30203</v>
      </c>
    </row>
    <row r="23" spans="1:11" ht="15.6" x14ac:dyDescent="0.3">
      <c r="A23" s="5"/>
      <c r="B23" s="5">
        <v>20</v>
      </c>
      <c r="C23" s="21">
        <v>270591.75</v>
      </c>
      <c r="D23" s="5">
        <f t="shared" ref="D23:D26" si="6">(C23-$F$22)/$F$22</f>
        <v>-0.14279611579131113</v>
      </c>
      <c r="E23" s="5">
        <f t="shared" ref="E23:E26" si="7">$G$3/(2*B23+$G$3)</f>
        <v>1.2345679012345678E-2</v>
      </c>
      <c r="F23" s="5"/>
      <c r="G23" s="5"/>
      <c r="H23" s="14" t="s">
        <v>28</v>
      </c>
      <c r="I23" s="14">
        <v>25515</v>
      </c>
      <c r="J23" s="13"/>
      <c r="K23" s="16"/>
    </row>
    <row r="24" spans="1:11" ht="15.6" x14ac:dyDescent="0.3">
      <c r="A24" s="5" t="s">
        <v>7</v>
      </c>
      <c r="B24" s="5">
        <v>17.5</v>
      </c>
      <c r="C24" s="7">
        <v>263657.06</v>
      </c>
      <c r="D24" s="5">
        <f t="shared" si="6"/>
        <v>-0.16476442489084264</v>
      </c>
      <c r="E24" s="5">
        <f t="shared" si="7"/>
        <v>1.4084507042253521E-2</v>
      </c>
      <c r="F24" s="5"/>
      <c r="G24" s="5"/>
      <c r="H24" s="14" t="s">
        <v>29</v>
      </c>
      <c r="I24" s="14">
        <v>22781</v>
      </c>
      <c r="J24" s="13"/>
      <c r="K24" s="13"/>
    </row>
    <row r="25" spans="1:11" ht="15.6" x14ac:dyDescent="0.3">
      <c r="A25" s="5"/>
      <c r="B25" s="5">
        <v>15</v>
      </c>
      <c r="C25" s="21">
        <v>253657.06</v>
      </c>
      <c r="D25" s="5">
        <f t="shared" si="6"/>
        <v>-0.19644328739159103</v>
      </c>
      <c r="E25" s="5">
        <f t="shared" si="7"/>
        <v>1.6393442622950821E-2</v>
      </c>
      <c r="F25" s="5"/>
      <c r="G25" s="5"/>
      <c r="H25" s="14" t="s">
        <v>30</v>
      </c>
      <c r="I25" s="14">
        <v>22781</v>
      </c>
      <c r="J25" s="13"/>
      <c r="K25" s="13"/>
    </row>
    <row r="26" spans="1:11" ht="15.6" x14ac:dyDescent="0.3">
      <c r="A26" s="5"/>
      <c r="B26" s="5">
        <v>12.5</v>
      </c>
      <c r="C26" s="21">
        <v>250519.18</v>
      </c>
      <c r="D26" s="5">
        <f t="shared" si="6"/>
        <v>-0.20638373429797591</v>
      </c>
      <c r="E26" s="5">
        <f t="shared" si="7"/>
        <v>1.9607843137254902E-2</v>
      </c>
      <c r="F26" s="5"/>
      <c r="G26" s="5"/>
      <c r="H26" s="14" t="s">
        <v>31</v>
      </c>
      <c r="I26" s="14">
        <v>21218</v>
      </c>
      <c r="J26" s="13"/>
      <c r="K26" s="13"/>
    </row>
    <row r="31" spans="1:11" ht="15.6" x14ac:dyDescent="0.3">
      <c r="B31" s="2" t="s">
        <v>9</v>
      </c>
      <c r="C31" t="s">
        <v>1</v>
      </c>
      <c r="D31" s="2" t="s">
        <v>3</v>
      </c>
      <c r="E31" s="2" t="s">
        <v>2</v>
      </c>
      <c r="F31" s="2" t="s">
        <v>0</v>
      </c>
    </row>
    <row r="32" spans="1:11" ht="15.6" x14ac:dyDescent="0.3">
      <c r="A32" s="29"/>
      <c r="B32" s="4"/>
      <c r="C32" s="29"/>
      <c r="D32" s="4">
        <v>0</v>
      </c>
      <c r="E32" s="4">
        <v>0</v>
      </c>
      <c r="F32" s="4"/>
    </row>
    <row r="33" spans="1:13" ht="23.4" x14ac:dyDescent="0.45">
      <c r="A33" s="29"/>
      <c r="B33" s="4">
        <v>22.5</v>
      </c>
      <c r="C33" s="20">
        <v>10174.969999999999</v>
      </c>
      <c r="D33" s="29">
        <f>(C33-$F$33)/$F$33</f>
        <v>-0.54777911111111111</v>
      </c>
      <c r="E33" s="4">
        <f>$G$3/(2*B33+$G$3)</f>
        <v>1.098901098901099E-2</v>
      </c>
      <c r="F33" s="20">
        <v>22500</v>
      </c>
      <c r="G33" s="22" t="s">
        <v>44</v>
      </c>
    </row>
    <row r="34" spans="1:13" ht="15.6" x14ac:dyDescent="0.3">
      <c r="A34" s="29" t="s">
        <v>32</v>
      </c>
      <c r="B34" s="4">
        <v>20</v>
      </c>
      <c r="C34" s="20">
        <v>9584.11</v>
      </c>
      <c r="D34" s="29">
        <f t="shared" ref="D34:D37" si="8">(C34-$F$33)/$F$33</f>
        <v>-0.57403955555555553</v>
      </c>
      <c r="E34" s="4">
        <f t="shared" ref="E34:E37" si="9">$G$3/(2*B34+$G$3)</f>
        <v>1.2345679012345678E-2</v>
      </c>
      <c r="F34" s="29"/>
    </row>
    <row r="35" spans="1:13" ht="23.4" x14ac:dyDescent="0.45">
      <c r="A35" s="29"/>
      <c r="B35" s="4">
        <v>17.5</v>
      </c>
      <c r="C35" s="20">
        <v>9200.52</v>
      </c>
      <c r="D35" s="29">
        <f t="shared" si="8"/>
        <v>-0.59108799999999995</v>
      </c>
      <c r="E35" s="4">
        <f t="shared" si="9"/>
        <v>1.4084507042253521E-2</v>
      </c>
      <c r="F35" s="29"/>
      <c r="G35" s="22" t="s">
        <v>42</v>
      </c>
    </row>
    <row r="36" spans="1:13" ht="15.6" x14ac:dyDescent="0.3">
      <c r="A36" s="29"/>
      <c r="B36" s="4">
        <v>15</v>
      </c>
      <c r="C36" s="20">
        <v>8105.22</v>
      </c>
      <c r="D36" s="29">
        <f t="shared" si="8"/>
        <v>-0.639768</v>
      </c>
      <c r="E36" s="4">
        <f t="shared" si="9"/>
        <v>1.6393442622950821E-2</v>
      </c>
      <c r="F36" s="29"/>
    </row>
    <row r="37" spans="1:13" ht="15.6" x14ac:dyDescent="0.3">
      <c r="A37" s="29"/>
      <c r="B37" s="4">
        <v>12.5</v>
      </c>
      <c r="C37" s="20">
        <v>6932.43</v>
      </c>
      <c r="D37" s="29">
        <f t="shared" si="8"/>
        <v>-0.69189199999999995</v>
      </c>
      <c r="E37" s="4">
        <f t="shared" si="9"/>
        <v>1.9607843137254902E-2</v>
      </c>
      <c r="F37" s="29"/>
    </row>
    <row r="38" spans="1:13" ht="15.6" x14ac:dyDescent="0.3">
      <c r="B38" s="2" t="s">
        <v>9</v>
      </c>
      <c r="C38" t="s">
        <v>1</v>
      </c>
      <c r="D38" s="2" t="s">
        <v>3</v>
      </c>
      <c r="E38" s="2" t="s">
        <v>2</v>
      </c>
      <c r="F38" s="2" t="s">
        <v>0</v>
      </c>
    </row>
    <row r="39" spans="1:13" ht="15.6" x14ac:dyDescent="0.3">
      <c r="A39" s="30"/>
      <c r="B39" s="3"/>
      <c r="C39" s="30"/>
      <c r="D39" s="3">
        <v>0</v>
      </c>
      <c r="E39" s="3">
        <v>0</v>
      </c>
      <c r="F39" s="3"/>
    </row>
    <row r="40" spans="1:13" ht="15.6" x14ac:dyDescent="0.3">
      <c r="A40" s="30"/>
      <c r="B40" s="3">
        <v>22.5</v>
      </c>
      <c r="C40" s="17">
        <v>29600.41</v>
      </c>
      <c r="D40" s="30">
        <f>ABS(C40-$F$40)/$F$40</f>
        <v>0.31039799688961872</v>
      </c>
      <c r="E40" s="3">
        <f>$G$3/(2*B40+$G$3)</f>
        <v>1.098901098901099E-2</v>
      </c>
      <c r="F40" s="17">
        <v>22588.87</v>
      </c>
    </row>
    <row r="41" spans="1:13" ht="15.6" x14ac:dyDescent="0.3">
      <c r="A41" s="30" t="s">
        <v>32</v>
      </c>
      <c r="B41" s="3">
        <v>20</v>
      </c>
      <c r="C41" s="17">
        <v>30186.34</v>
      </c>
      <c r="D41" s="30">
        <f t="shared" ref="D41:D44" si="10">ABS(C41-$F$40)/$F$40</f>
        <v>0.33633687740909579</v>
      </c>
      <c r="E41" s="3">
        <f t="shared" ref="E41:E44" si="11">$G$3/(2*B41+$G$3)</f>
        <v>1.2345679012345678E-2</v>
      </c>
      <c r="F41" s="30"/>
    </row>
    <row r="42" spans="1:13" ht="23.4" x14ac:dyDescent="0.45">
      <c r="A42" s="30"/>
      <c r="B42" s="3">
        <v>17.5</v>
      </c>
      <c r="C42" s="17">
        <v>30543.75</v>
      </c>
      <c r="D42" s="30">
        <f t="shared" si="10"/>
        <v>0.35215927135797415</v>
      </c>
      <c r="E42" s="3">
        <f t="shared" si="11"/>
        <v>1.4084507042253521E-2</v>
      </c>
      <c r="F42" s="30"/>
      <c r="G42" s="22" t="s">
        <v>43</v>
      </c>
    </row>
    <row r="43" spans="1:13" ht="15.6" x14ac:dyDescent="0.3">
      <c r="A43" s="30"/>
      <c r="B43" s="3">
        <v>15</v>
      </c>
      <c r="C43" s="17">
        <v>30905.52</v>
      </c>
      <c r="D43" s="30">
        <f t="shared" si="10"/>
        <v>0.36817468071665388</v>
      </c>
      <c r="E43" s="3">
        <f t="shared" si="11"/>
        <v>1.6393442622950821E-2</v>
      </c>
      <c r="F43" s="30"/>
    </row>
    <row r="44" spans="1:13" ht="15.6" x14ac:dyDescent="0.3">
      <c r="A44" s="30"/>
      <c r="B44" s="3">
        <v>12.5</v>
      </c>
      <c r="C44" s="17">
        <v>31149.48</v>
      </c>
      <c r="D44" s="30">
        <f t="shared" si="10"/>
        <v>0.37897468974765008</v>
      </c>
      <c r="E44" s="3">
        <f t="shared" si="11"/>
        <v>1.9607843137254902E-2</v>
      </c>
      <c r="F44" s="30"/>
    </row>
    <row r="46" spans="1:13" ht="23.4" x14ac:dyDescent="0.45">
      <c r="A46" s="31" t="s">
        <v>35</v>
      </c>
    </row>
    <row r="47" spans="1:13" ht="23.4" x14ac:dyDescent="0.45">
      <c r="A47" s="32" t="s">
        <v>33</v>
      </c>
    </row>
    <row r="48" spans="1:13" x14ac:dyDescent="0.3">
      <c r="A48" s="34"/>
      <c r="B48" s="34" t="s">
        <v>34</v>
      </c>
      <c r="C48" s="34" t="s">
        <v>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spans="1:13" x14ac:dyDescent="0.3">
      <c r="A49" s="34"/>
      <c r="B49" s="35">
        <v>120</v>
      </c>
      <c r="C49" s="36">
        <v>3736144.75</v>
      </c>
      <c r="D49" s="11"/>
      <c r="E49" s="11"/>
      <c r="F49" s="10"/>
      <c r="G49" s="10"/>
      <c r="H49" s="10"/>
      <c r="I49" s="10"/>
      <c r="J49" s="10"/>
      <c r="K49" s="10"/>
      <c r="L49" s="10"/>
      <c r="M49" s="10"/>
    </row>
    <row r="50" spans="1:13" x14ac:dyDescent="0.3">
      <c r="A50" s="34"/>
      <c r="B50" s="35">
        <v>100</v>
      </c>
      <c r="C50" s="36">
        <v>3704544.75</v>
      </c>
      <c r="D50" s="11"/>
      <c r="E50" s="11"/>
      <c r="F50" s="10"/>
      <c r="G50" s="10"/>
      <c r="H50" s="10"/>
      <c r="I50" s="10"/>
      <c r="J50" s="10"/>
      <c r="K50" s="10"/>
      <c r="L50" s="10"/>
      <c r="M50" s="10"/>
    </row>
    <row r="51" spans="1:13" x14ac:dyDescent="0.3">
      <c r="A51" s="34"/>
      <c r="B51" s="35">
        <v>80</v>
      </c>
      <c r="C51" s="36">
        <v>3612785.75</v>
      </c>
      <c r="D51" s="11"/>
      <c r="E51" s="11"/>
      <c r="F51" s="10"/>
      <c r="G51" s="10"/>
      <c r="H51" s="10"/>
      <c r="I51" s="10"/>
      <c r="J51" s="10"/>
      <c r="K51" s="10"/>
      <c r="L51" s="10"/>
      <c r="M51" s="10"/>
    </row>
    <row r="52" spans="1:13" x14ac:dyDescent="0.3">
      <c r="A52" s="34"/>
      <c r="B52" s="35">
        <v>60</v>
      </c>
      <c r="C52" s="36">
        <v>3554027.25</v>
      </c>
      <c r="D52" s="11"/>
      <c r="E52" s="11"/>
      <c r="F52" s="10"/>
      <c r="G52" s="10"/>
      <c r="H52" s="10"/>
      <c r="I52" s="10"/>
      <c r="J52" s="10"/>
      <c r="K52" s="10"/>
      <c r="L52" s="10"/>
      <c r="M52" s="10"/>
    </row>
    <row r="53" spans="1:13" x14ac:dyDescent="0.3">
      <c r="A53" s="34"/>
      <c r="B53" s="35">
        <v>40</v>
      </c>
      <c r="C53" s="36">
        <v>3529409</v>
      </c>
      <c r="D53" s="11"/>
      <c r="E53" s="11"/>
      <c r="F53" s="10"/>
      <c r="G53" s="10"/>
      <c r="H53" s="10"/>
      <c r="I53" s="10"/>
      <c r="J53" s="10"/>
      <c r="K53" s="10"/>
      <c r="L53" s="10"/>
      <c r="M53" s="10"/>
    </row>
    <row r="54" spans="1:13" x14ac:dyDescent="0.3">
      <c r="A54" s="34"/>
      <c r="B54" s="35">
        <v>60</v>
      </c>
      <c r="C54" s="36">
        <v>3541676.5</v>
      </c>
      <c r="D54" s="11"/>
      <c r="E54" s="11"/>
      <c r="F54" s="10"/>
      <c r="G54" s="10"/>
      <c r="H54" s="10"/>
      <c r="I54" s="10"/>
      <c r="J54" s="10"/>
      <c r="K54" s="10"/>
      <c r="L54" s="10"/>
      <c r="M54" s="10"/>
    </row>
    <row r="55" spans="1:13" x14ac:dyDescent="0.3">
      <c r="A55" s="34"/>
      <c r="B55" s="35">
        <v>80</v>
      </c>
      <c r="C55" s="36">
        <v>3621334.25</v>
      </c>
      <c r="D55" s="11"/>
      <c r="E55" s="11"/>
      <c r="F55" s="10"/>
      <c r="G55" s="10"/>
      <c r="H55" s="10"/>
      <c r="I55" s="10"/>
      <c r="J55" s="10"/>
      <c r="K55" s="10"/>
      <c r="L55" s="10"/>
      <c r="M55" s="10"/>
    </row>
    <row r="56" spans="1:13" x14ac:dyDescent="0.3">
      <c r="A56" s="34"/>
      <c r="B56" s="35">
        <v>100</v>
      </c>
      <c r="C56" s="36">
        <v>3677869.75</v>
      </c>
      <c r="D56" s="11"/>
      <c r="E56" s="11"/>
      <c r="F56" s="10"/>
      <c r="G56" s="10"/>
      <c r="H56" s="10"/>
      <c r="I56" s="10"/>
      <c r="J56" s="10"/>
      <c r="K56" s="10"/>
      <c r="L56" s="10"/>
      <c r="M56" s="10"/>
    </row>
    <row r="57" spans="1:13" x14ac:dyDescent="0.3">
      <c r="A57" s="34"/>
      <c r="B57" s="35">
        <v>120</v>
      </c>
      <c r="C57" s="36">
        <v>3700073</v>
      </c>
      <c r="D57" s="11"/>
      <c r="E57" s="11"/>
      <c r="F57" s="10"/>
      <c r="G57" s="10"/>
      <c r="H57" s="10"/>
      <c r="I57" s="10"/>
      <c r="J57" s="10"/>
      <c r="K57" s="10"/>
      <c r="L57" s="10"/>
      <c r="M57" s="10"/>
    </row>
    <row r="58" spans="1:13" x14ac:dyDescent="0.3">
      <c r="A58" s="34"/>
      <c r="B58" s="35">
        <v>100</v>
      </c>
      <c r="C58" s="36">
        <v>3669060.75</v>
      </c>
      <c r="D58" s="11"/>
      <c r="E58" s="11"/>
    </row>
    <row r="59" spans="1:13" x14ac:dyDescent="0.3">
      <c r="A59" s="34"/>
      <c r="B59" s="35">
        <v>80</v>
      </c>
      <c r="C59" s="36">
        <v>3634230.75</v>
      </c>
      <c r="D59" s="11"/>
      <c r="E59" s="11"/>
    </row>
    <row r="60" spans="1:13" x14ac:dyDescent="0.3">
      <c r="A60" s="34"/>
      <c r="B60" s="35">
        <v>60</v>
      </c>
      <c r="C60" s="36">
        <v>3578980.75</v>
      </c>
      <c r="D60" s="11"/>
      <c r="E60" s="11"/>
    </row>
    <row r="61" spans="1:13" x14ac:dyDescent="0.3">
      <c r="A61" s="34"/>
      <c r="B61" s="35">
        <v>40</v>
      </c>
      <c r="C61" s="36">
        <v>3465349</v>
      </c>
      <c r="D61" s="11"/>
      <c r="E61" s="11"/>
    </row>
    <row r="63" spans="1:13" ht="23.4" x14ac:dyDescent="0.45">
      <c r="A63" s="31" t="s">
        <v>32</v>
      </c>
    </row>
    <row r="64" spans="1:13" ht="23.4" x14ac:dyDescent="0.45">
      <c r="A64" s="33" t="s">
        <v>33</v>
      </c>
    </row>
    <row r="65" spans="1:5" x14ac:dyDescent="0.3">
      <c r="A65" s="37"/>
      <c r="B65" s="37" t="s">
        <v>34</v>
      </c>
      <c r="C65" s="37" t="s">
        <v>1</v>
      </c>
      <c r="D65" s="10"/>
      <c r="E65" s="10"/>
    </row>
    <row r="66" spans="1:5" x14ac:dyDescent="0.3">
      <c r="A66" s="37"/>
      <c r="B66" s="38">
        <v>120</v>
      </c>
      <c r="C66" s="19">
        <v>23867.4</v>
      </c>
      <c r="D66" s="9"/>
      <c r="E66" s="11"/>
    </row>
    <row r="67" spans="1:5" x14ac:dyDescent="0.3">
      <c r="A67" s="37"/>
      <c r="B67" s="38">
        <v>100</v>
      </c>
      <c r="C67" s="19">
        <v>24055.45</v>
      </c>
      <c r="D67" s="9"/>
      <c r="E67" s="11"/>
    </row>
    <row r="68" spans="1:5" x14ac:dyDescent="0.3">
      <c r="A68" s="37"/>
      <c r="B68" s="38">
        <v>80</v>
      </c>
      <c r="C68" s="19">
        <v>24244.9</v>
      </c>
      <c r="D68" s="9"/>
      <c r="E68" s="11"/>
    </row>
    <row r="69" spans="1:5" x14ac:dyDescent="0.3">
      <c r="A69" s="37"/>
      <c r="B69" s="38">
        <v>60</v>
      </c>
      <c r="C69" s="19">
        <v>24435.759999999998</v>
      </c>
      <c r="D69" s="9"/>
      <c r="E69" s="11"/>
    </row>
    <row r="70" spans="1:5" x14ac:dyDescent="0.3">
      <c r="A70" s="37"/>
      <c r="B70" s="38">
        <v>40</v>
      </c>
      <c r="C70" s="19">
        <v>24919.17</v>
      </c>
      <c r="D70" s="9"/>
      <c r="E70" s="11"/>
    </row>
    <row r="71" spans="1:5" x14ac:dyDescent="0.3">
      <c r="A71" s="37"/>
      <c r="B71" s="38">
        <v>60</v>
      </c>
      <c r="C71" s="19">
        <v>24531.72</v>
      </c>
      <c r="D71" s="9"/>
      <c r="E71" s="11"/>
    </row>
    <row r="72" spans="1:5" x14ac:dyDescent="0.3">
      <c r="A72" s="37"/>
      <c r="B72" s="38">
        <v>80</v>
      </c>
      <c r="C72" s="19">
        <v>24340.15</v>
      </c>
      <c r="D72" s="9"/>
      <c r="E72" s="11"/>
    </row>
    <row r="73" spans="1:5" x14ac:dyDescent="0.3">
      <c r="A73" s="37"/>
      <c r="B73" s="38">
        <v>100</v>
      </c>
      <c r="C73" s="19">
        <v>24150</v>
      </c>
      <c r="D73" s="12"/>
      <c r="E73" s="11"/>
    </row>
    <row r="74" spans="1:5" x14ac:dyDescent="0.3">
      <c r="A74" s="37"/>
      <c r="B74" s="38">
        <v>120</v>
      </c>
      <c r="C74" s="19">
        <v>24055.45</v>
      </c>
      <c r="D74" s="9"/>
      <c r="E74" s="11"/>
    </row>
    <row r="75" spans="1:5" x14ac:dyDescent="0.3">
      <c r="A75" s="37"/>
      <c r="B75" s="38">
        <v>100</v>
      </c>
      <c r="C75" s="19">
        <v>24150</v>
      </c>
      <c r="D75" s="9"/>
      <c r="E75" s="11"/>
    </row>
    <row r="76" spans="1:5" x14ac:dyDescent="0.3">
      <c r="A76" s="37"/>
      <c r="B76" s="38">
        <v>80</v>
      </c>
      <c r="C76" s="19">
        <v>24244.9</v>
      </c>
      <c r="D76" s="11"/>
      <c r="E76" s="11"/>
    </row>
    <row r="77" spans="1:5" x14ac:dyDescent="0.3">
      <c r="A77" s="37"/>
      <c r="B77" s="38">
        <v>60</v>
      </c>
      <c r="C77" s="19">
        <v>24531.72</v>
      </c>
      <c r="D77" s="11"/>
      <c r="E77" s="11"/>
    </row>
    <row r="78" spans="1:5" x14ac:dyDescent="0.3">
      <c r="A78" s="37"/>
      <c r="B78" s="38">
        <v>40</v>
      </c>
      <c r="C78" s="19">
        <v>24919.17</v>
      </c>
      <c r="D78" s="11"/>
      <c r="E78" s="11"/>
    </row>
    <row r="91" spans="1:11" ht="15.6" x14ac:dyDescent="0.3">
      <c r="A91" s="2"/>
      <c r="B91" s="2" t="s">
        <v>9</v>
      </c>
      <c r="C91" s="2" t="s">
        <v>1</v>
      </c>
      <c r="D91" s="2" t="s">
        <v>3</v>
      </c>
      <c r="E91" s="2" t="s">
        <v>2</v>
      </c>
      <c r="F91" s="2" t="s">
        <v>0</v>
      </c>
      <c r="G91" s="2" t="s">
        <v>8</v>
      </c>
      <c r="H91" s="8" t="s">
        <v>10</v>
      </c>
      <c r="I91" s="8" t="s">
        <v>11</v>
      </c>
    </row>
    <row r="92" spans="1:11" ht="15.6" x14ac:dyDescent="0.3">
      <c r="A92" s="3"/>
      <c r="B92" s="3"/>
      <c r="C92" s="3"/>
      <c r="D92" s="3">
        <v>0</v>
      </c>
      <c r="E92" s="3">
        <v>0</v>
      </c>
      <c r="F92" s="3"/>
      <c r="G92" s="3"/>
      <c r="H92" s="8"/>
      <c r="I92" s="8"/>
    </row>
    <row r="93" spans="1:11" ht="15.6" x14ac:dyDescent="0.3">
      <c r="A93" s="3"/>
      <c r="B93" s="3">
        <v>22.5</v>
      </c>
      <c r="C93" s="17">
        <v>1300367.1200000001</v>
      </c>
      <c r="D93" s="3">
        <f>(C93-$F$93)/$F$93</f>
        <v>0.35639116143408311</v>
      </c>
      <c r="E93" s="3">
        <f>$G$3/(2*B93+$G$3)</f>
        <v>1.098901098901099E-2</v>
      </c>
      <c r="F93" s="17">
        <v>958696.25</v>
      </c>
      <c r="G93" s="3">
        <v>0.5</v>
      </c>
      <c r="H93" s="25" t="s">
        <v>40</v>
      </c>
      <c r="I93" s="25">
        <v>2859</v>
      </c>
      <c r="J93" s="9">
        <v>11843</v>
      </c>
      <c r="K93" s="9" t="s">
        <v>41</v>
      </c>
    </row>
    <row r="94" spans="1:11" ht="15.6" x14ac:dyDescent="0.3">
      <c r="A94" s="3"/>
      <c r="B94" s="3">
        <v>20</v>
      </c>
      <c r="C94" s="17">
        <v>1376309.87</v>
      </c>
      <c r="D94" s="3">
        <f t="shared" ref="D94:D97" si="12">(C94-$F$93)/$F$93</f>
        <v>0.43560577190116279</v>
      </c>
      <c r="E94" s="3">
        <f t="shared" ref="E94:E97" si="13">$G$3/(2*B94+$G$3)</f>
        <v>1.2345679012345678E-2</v>
      </c>
      <c r="F94" s="3"/>
      <c r="G94" s="3"/>
      <c r="H94" s="25" t="s">
        <v>36</v>
      </c>
      <c r="I94" s="25">
        <v>2859</v>
      </c>
    </row>
    <row r="95" spans="1:11" ht="15.6" x14ac:dyDescent="0.3">
      <c r="A95" s="3" t="s">
        <v>4</v>
      </c>
      <c r="B95" s="3">
        <v>17.5</v>
      </c>
      <c r="C95" s="17">
        <v>1399533.5</v>
      </c>
      <c r="D95" s="3">
        <f t="shared" si="12"/>
        <v>0.45982995135320492</v>
      </c>
      <c r="E95" s="3">
        <f t="shared" si="13"/>
        <v>1.4084507042253521E-2</v>
      </c>
      <c r="F95" s="3"/>
      <c r="G95" s="3"/>
      <c r="H95" s="25" t="s">
        <v>37</v>
      </c>
      <c r="I95" s="25">
        <v>2859</v>
      </c>
    </row>
    <row r="96" spans="1:11" ht="15.6" x14ac:dyDescent="0.3">
      <c r="A96" s="3"/>
      <c r="B96" s="3">
        <v>15</v>
      </c>
      <c r="C96" s="17">
        <v>1476373.37</v>
      </c>
      <c r="D96" s="3">
        <f t="shared" si="12"/>
        <v>0.53998033266532552</v>
      </c>
      <c r="E96" s="3">
        <f t="shared" si="13"/>
        <v>1.6393442622950821E-2</v>
      </c>
      <c r="F96" s="3"/>
      <c r="G96" s="3"/>
      <c r="H96" s="25" t="s">
        <v>38</v>
      </c>
      <c r="I96" s="25">
        <v>2859</v>
      </c>
    </row>
    <row r="97" spans="1:10" ht="15.6" x14ac:dyDescent="0.3">
      <c r="A97" s="3"/>
      <c r="B97" s="3">
        <v>12.5</v>
      </c>
      <c r="C97" s="17">
        <v>1567259.5</v>
      </c>
      <c r="D97" s="3">
        <f t="shared" si="12"/>
        <v>0.63478213250547288</v>
      </c>
      <c r="E97" s="3">
        <f t="shared" si="13"/>
        <v>1.9607843137254902E-2</v>
      </c>
      <c r="F97" s="3"/>
      <c r="G97" s="3"/>
      <c r="H97" s="25" t="s">
        <v>39</v>
      </c>
      <c r="I97" s="25">
        <v>2859</v>
      </c>
    </row>
    <row r="98" spans="1:10" ht="15.6" x14ac:dyDescent="0.3">
      <c r="A98" s="18"/>
      <c r="B98" s="18"/>
      <c r="C98" s="19"/>
      <c r="D98" s="18">
        <v>0</v>
      </c>
      <c r="E98" s="18">
        <v>0</v>
      </c>
      <c r="F98" s="18"/>
      <c r="G98" s="18"/>
      <c r="H98" s="25"/>
      <c r="I98" s="25"/>
    </row>
    <row r="99" spans="1:10" ht="15.6" x14ac:dyDescent="0.3">
      <c r="A99" s="18"/>
      <c r="B99" s="18">
        <v>22.5</v>
      </c>
      <c r="C99" s="19">
        <v>1297911.8700000001</v>
      </c>
      <c r="D99" s="18">
        <f>(C99-$F$99)/$F$99</f>
        <v>0.23635897203469025</v>
      </c>
      <c r="E99" s="18">
        <f>$G$3/(2*B99+$G$3)</f>
        <v>1.098901098901099E-2</v>
      </c>
      <c r="F99" s="19">
        <v>1049785.6200000001</v>
      </c>
      <c r="G99" s="18"/>
      <c r="H99" s="26" t="s">
        <v>17</v>
      </c>
      <c r="I99" s="25">
        <v>11843</v>
      </c>
    </row>
    <row r="100" spans="1:10" ht="15.6" x14ac:dyDescent="0.3">
      <c r="A100" s="18"/>
      <c r="B100" s="18">
        <v>20</v>
      </c>
      <c r="C100" s="19">
        <v>1344497</v>
      </c>
      <c r="D100" s="18">
        <f t="shared" ref="D100:D103" si="14">(C100-$F$99)/$F$99</f>
        <v>0.28073482279172374</v>
      </c>
      <c r="E100" s="18">
        <f t="shared" ref="E100:E103" si="15">$G$3/(2*B100+$G$3)</f>
        <v>1.2345679012345678E-2</v>
      </c>
      <c r="F100" s="18"/>
      <c r="G100" s="18"/>
      <c r="H100" s="26" t="s">
        <v>18</v>
      </c>
      <c r="I100" s="26">
        <v>7156</v>
      </c>
    </row>
    <row r="101" spans="1:10" ht="15.6" x14ac:dyDescent="0.3">
      <c r="A101" s="18" t="s">
        <v>5</v>
      </c>
      <c r="B101" s="18">
        <v>17.5</v>
      </c>
      <c r="C101" s="19">
        <v>1398428</v>
      </c>
      <c r="D101" s="18">
        <f t="shared" si="14"/>
        <v>0.33210816890404715</v>
      </c>
      <c r="E101" s="18">
        <f t="shared" si="15"/>
        <v>1.4084507042253521E-2</v>
      </c>
      <c r="F101" s="18"/>
      <c r="G101" s="18"/>
      <c r="H101" s="26" t="s">
        <v>18</v>
      </c>
      <c r="I101" s="26">
        <v>6765</v>
      </c>
    </row>
    <row r="102" spans="1:10" ht="15.6" x14ac:dyDescent="0.3">
      <c r="A102" s="18"/>
      <c r="B102" s="18">
        <v>15</v>
      </c>
      <c r="C102" s="19">
        <v>1516433.37</v>
      </c>
      <c r="D102" s="18">
        <f t="shared" si="14"/>
        <v>0.44451718628037595</v>
      </c>
      <c r="E102" s="18">
        <f t="shared" si="15"/>
        <v>1.6393442622950821E-2</v>
      </c>
      <c r="F102" s="18"/>
      <c r="G102" s="18"/>
      <c r="H102" s="26" t="s">
        <v>19</v>
      </c>
      <c r="I102" s="26">
        <v>8328</v>
      </c>
    </row>
    <row r="103" spans="1:10" ht="25.8" x14ac:dyDescent="0.5">
      <c r="A103" s="18"/>
      <c r="B103" s="18">
        <v>12.5</v>
      </c>
      <c r="C103" s="19">
        <v>1590882.87</v>
      </c>
      <c r="D103" s="18">
        <f t="shared" si="14"/>
        <v>0.51543595158028543</v>
      </c>
      <c r="E103" s="18">
        <f t="shared" si="15"/>
        <v>1.9607843137254902E-2</v>
      </c>
      <c r="F103" s="18"/>
      <c r="G103" s="18"/>
      <c r="H103" s="26" t="s">
        <v>20</v>
      </c>
      <c r="I103" s="26">
        <v>8328</v>
      </c>
      <c r="J103" s="27" t="s">
        <v>43</v>
      </c>
    </row>
    <row r="104" spans="1:10" ht="15.6" x14ac:dyDescent="0.3">
      <c r="A104" s="23">
        <v>0</v>
      </c>
      <c r="B104" s="23"/>
      <c r="C104" s="24"/>
      <c r="D104" s="23">
        <v>0</v>
      </c>
      <c r="E104" s="23">
        <v>0</v>
      </c>
      <c r="F104" s="23"/>
      <c r="G104" s="23"/>
      <c r="H104" s="26"/>
      <c r="I104" s="26"/>
    </row>
    <row r="105" spans="1:10" ht="23.4" x14ac:dyDescent="0.45">
      <c r="A105" s="23"/>
      <c r="B105" s="23">
        <v>22.5</v>
      </c>
      <c r="C105" s="24">
        <v>565121.43000000005</v>
      </c>
      <c r="D105" s="23">
        <f>(C105-$F$105)/$F$105</f>
        <v>0.20578402327409914</v>
      </c>
      <c r="E105" s="23">
        <f>$G$3/(2*B105+$G$3)</f>
        <v>1.098901098901099E-2</v>
      </c>
      <c r="F105" s="24">
        <v>468675.5</v>
      </c>
      <c r="G105" s="23"/>
      <c r="H105" s="26" t="s">
        <v>22</v>
      </c>
      <c r="I105" s="25">
        <v>24343</v>
      </c>
      <c r="J105" s="22" t="s">
        <v>35</v>
      </c>
    </row>
    <row r="106" spans="1:10" ht="15.6" x14ac:dyDescent="0.3">
      <c r="A106" s="23"/>
      <c r="B106" s="23">
        <v>20</v>
      </c>
      <c r="C106" s="24">
        <v>585187.56000000006</v>
      </c>
      <c r="D106" s="23">
        <f t="shared" ref="D106:D109" si="16">(C106-$F$105)/$F$105</f>
        <v>0.24859857193303267</v>
      </c>
      <c r="E106" s="23">
        <f t="shared" ref="E106:E109" si="17">$G$3/(2*B106+$G$3)</f>
        <v>1.2345679012345678E-2</v>
      </c>
      <c r="F106" s="23"/>
      <c r="G106" s="23"/>
      <c r="H106" s="26" t="s">
        <v>23</v>
      </c>
      <c r="I106" s="26">
        <v>23171</v>
      </c>
    </row>
    <row r="107" spans="1:10" ht="15.6" x14ac:dyDescent="0.3">
      <c r="A107" s="23" t="s">
        <v>6</v>
      </c>
      <c r="B107" s="23">
        <v>17.5</v>
      </c>
      <c r="C107" s="24">
        <v>605813.68000000005</v>
      </c>
      <c r="D107" s="23">
        <f t="shared" si="16"/>
        <v>0.29260795582444582</v>
      </c>
      <c r="E107" s="23">
        <f t="shared" si="17"/>
        <v>1.4084507042253521E-2</v>
      </c>
      <c r="F107" s="23"/>
      <c r="G107" s="23"/>
      <c r="H107" s="26" t="s">
        <v>22</v>
      </c>
      <c r="I107" s="26">
        <v>23171</v>
      </c>
    </row>
    <row r="108" spans="1:10" ht="15.6" x14ac:dyDescent="0.3">
      <c r="A108" s="23"/>
      <c r="B108" s="23">
        <v>15</v>
      </c>
      <c r="C108" s="24">
        <v>626764.93000000005</v>
      </c>
      <c r="D108" s="23">
        <f t="shared" si="16"/>
        <v>0.33731106063790417</v>
      </c>
      <c r="E108" s="23">
        <f t="shared" si="17"/>
        <v>1.6393442622950821E-2</v>
      </c>
      <c r="F108" s="23"/>
      <c r="G108" s="23"/>
      <c r="H108" s="26" t="s">
        <v>24</v>
      </c>
      <c r="I108" s="26">
        <v>23171</v>
      </c>
    </row>
    <row r="109" spans="1:10" ht="15.6" x14ac:dyDescent="0.3">
      <c r="A109" s="23"/>
      <c r="B109" s="23">
        <v>12.5</v>
      </c>
      <c r="C109" s="24">
        <v>656193.5</v>
      </c>
      <c r="D109" s="23">
        <f t="shared" si="16"/>
        <v>0.40010198954287135</v>
      </c>
      <c r="E109" s="23">
        <f t="shared" si="17"/>
        <v>1.9607843137254902E-2</v>
      </c>
      <c r="F109" s="23"/>
      <c r="G109" s="23"/>
      <c r="H109" s="26" t="s">
        <v>25</v>
      </c>
      <c r="I109" s="26">
        <v>20828</v>
      </c>
    </row>
    <row r="110" spans="1:10" ht="15.6" x14ac:dyDescent="0.3">
      <c r="A110" s="5">
        <v>0</v>
      </c>
      <c r="B110" s="5"/>
      <c r="C110" s="21"/>
      <c r="D110" s="5">
        <v>0</v>
      </c>
      <c r="E110" s="5">
        <v>0</v>
      </c>
      <c r="F110" s="5"/>
      <c r="G110" s="5"/>
      <c r="H110" s="26"/>
      <c r="I110" s="26"/>
    </row>
    <row r="111" spans="1:10" ht="15.6" x14ac:dyDescent="0.3">
      <c r="A111" s="5"/>
      <c r="B111" s="5">
        <v>22.5</v>
      </c>
      <c r="C111" s="21">
        <v>1119915</v>
      </c>
      <c r="D111" s="5">
        <f>(C111-$F$111)/$F$111</f>
        <v>0.18047670107613362</v>
      </c>
      <c r="E111" s="5">
        <f>$G$3/(2*B111+$G$3)</f>
        <v>1.098901098901099E-2</v>
      </c>
      <c r="F111" s="21">
        <v>948697.25</v>
      </c>
      <c r="G111" s="5"/>
      <c r="H111" s="26" t="s">
        <v>27</v>
      </c>
      <c r="I111" s="25">
        <v>12625</v>
      </c>
    </row>
    <row r="112" spans="1:10" ht="15.6" x14ac:dyDescent="0.3">
      <c r="A112" s="5"/>
      <c r="B112" s="5">
        <v>20</v>
      </c>
      <c r="C112" s="21">
        <v>1150493.1200000001</v>
      </c>
      <c r="D112" s="5">
        <f t="shared" ref="D112:D115" si="18">(C112-$F$111)/$F$111</f>
        <v>0.21270839564465915</v>
      </c>
      <c r="E112" s="5">
        <f t="shared" ref="E112:E115" si="19">$G$3/(2*B112+$G$3)</f>
        <v>1.2345679012345678E-2</v>
      </c>
      <c r="F112" s="5"/>
      <c r="G112" s="5"/>
      <c r="H112" s="26" t="s">
        <v>28</v>
      </c>
      <c r="I112" s="26">
        <v>25515</v>
      </c>
    </row>
    <row r="113" spans="1:9" ht="15.6" x14ac:dyDescent="0.3">
      <c r="A113" s="5" t="s">
        <v>7</v>
      </c>
      <c r="B113" s="5">
        <v>17.5</v>
      </c>
      <c r="C113" s="21">
        <v>1188146.5</v>
      </c>
      <c r="D113" s="5">
        <f t="shared" si="18"/>
        <v>0.25239795941223608</v>
      </c>
      <c r="E113" s="5">
        <f t="shared" si="19"/>
        <v>1.4084507042253521E-2</v>
      </c>
      <c r="F113" s="5"/>
      <c r="G113" s="5"/>
      <c r="H113" s="26" t="s">
        <v>29</v>
      </c>
      <c r="I113" s="26">
        <v>22781</v>
      </c>
    </row>
    <row r="114" spans="1:9" ht="15.6" x14ac:dyDescent="0.3">
      <c r="A114" s="5"/>
      <c r="B114" s="5">
        <v>15</v>
      </c>
      <c r="C114" s="21">
        <v>1234031</v>
      </c>
      <c r="D114" s="5">
        <f t="shared" si="18"/>
        <v>0.30076375787955534</v>
      </c>
      <c r="E114" s="5">
        <f t="shared" si="19"/>
        <v>1.6393442622950821E-2</v>
      </c>
      <c r="F114" s="5"/>
      <c r="G114" s="5"/>
      <c r="H114" s="26" t="s">
        <v>30</v>
      </c>
      <c r="I114" s="26">
        <v>22781</v>
      </c>
    </row>
    <row r="115" spans="1:9" ht="15.6" x14ac:dyDescent="0.3">
      <c r="A115" s="5"/>
      <c r="B115" s="5">
        <v>12.5</v>
      </c>
      <c r="C115" s="21">
        <v>1313982.6200000001</v>
      </c>
      <c r="D115" s="5">
        <f t="shared" si="18"/>
        <v>0.38503892574791393</v>
      </c>
      <c r="E115" s="5">
        <f t="shared" si="19"/>
        <v>1.9607843137254902E-2</v>
      </c>
      <c r="F115" s="5"/>
      <c r="G115" s="5"/>
      <c r="H115" s="26" t="s">
        <v>31</v>
      </c>
      <c r="I115" s="26">
        <v>21218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Phan-Xuan-Anh Nguyen</dc:creator>
  <cp:lastModifiedBy>Phan-Xuan-Anh Nguyen</cp:lastModifiedBy>
  <dcterms:created xsi:type="dcterms:W3CDTF">2026-04-07T19:34:52Z</dcterms:created>
  <dcterms:modified xsi:type="dcterms:W3CDTF">2026-04-14T15:48:35Z</dcterms:modified>
</cp:coreProperties>
</file>