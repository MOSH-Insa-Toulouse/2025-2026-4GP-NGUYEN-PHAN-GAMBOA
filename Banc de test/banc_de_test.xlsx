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A6C3CA5-041B-448E-9150-C25B02514D34}" xr6:coauthVersionLast="47" xr6:coauthVersionMax="47" xr10:uidLastSave="{00000000-0000-0000-0000-000000000000}"/>
  <bookViews>
    <workbookView xWindow="3756" yWindow="0" windowWidth="17280" windowHeight="12336" xr2:uid="{D1397E9D-800F-410F-B2F5-486FD72217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1" i="1" l="1"/>
  <c r="C101" i="1"/>
  <c r="D100" i="1"/>
  <c r="C100" i="1"/>
  <c r="C89" i="1"/>
  <c r="D89" i="1"/>
  <c r="D88" i="1"/>
  <c r="C88" i="1"/>
  <c r="D98" i="1"/>
  <c r="D99" i="1" s="1"/>
  <c r="C98" i="1"/>
  <c r="C99" i="1" s="1"/>
  <c r="D86" i="1"/>
  <c r="D87" i="1" s="1"/>
  <c r="C86" i="1"/>
  <c r="C87" i="1" s="1"/>
  <c r="BF28" i="1"/>
  <c r="BF24" i="1"/>
  <c r="BF22" i="1"/>
  <c r="BF18" i="1"/>
  <c r="BF16" i="1"/>
  <c r="BF12" i="1"/>
  <c r="BF5" i="1"/>
  <c r="BF9" i="1"/>
  <c r="D3" i="1"/>
  <c r="E3" i="1"/>
  <c r="D34" i="1"/>
  <c r="D35" i="1"/>
  <c r="D36" i="1"/>
  <c r="D37" i="1"/>
  <c r="D33" i="1"/>
  <c r="D41" i="1"/>
  <c r="D42" i="1"/>
  <c r="D43" i="1"/>
  <c r="D44" i="1"/>
  <c r="D40" i="1"/>
  <c r="E44" i="1"/>
  <c r="E43" i="1"/>
  <c r="E42" i="1"/>
  <c r="E41" i="1"/>
  <c r="E40" i="1"/>
  <c r="D69" i="1"/>
  <c r="D70" i="1"/>
  <c r="D71" i="1"/>
  <c r="D72" i="1"/>
  <c r="D68" i="1"/>
  <c r="D63" i="1"/>
  <c r="D64" i="1"/>
  <c r="D65" i="1"/>
  <c r="D66" i="1"/>
  <c r="D62" i="1"/>
  <c r="D57" i="1"/>
  <c r="D58" i="1"/>
  <c r="D59" i="1"/>
  <c r="D60" i="1"/>
  <c r="D56" i="1"/>
  <c r="D51" i="1"/>
  <c r="D52" i="1"/>
  <c r="D53" i="1"/>
  <c r="D54" i="1"/>
  <c r="D50" i="1"/>
  <c r="E72" i="1"/>
  <c r="E71" i="1"/>
  <c r="E70" i="1"/>
  <c r="E69" i="1"/>
  <c r="E68" i="1"/>
  <c r="E66" i="1"/>
  <c r="E65" i="1"/>
  <c r="E64" i="1"/>
  <c r="E63" i="1"/>
  <c r="E62" i="1"/>
  <c r="E60" i="1"/>
  <c r="E59" i="1"/>
  <c r="E58" i="1"/>
  <c r="E57" i="1"/>
  <c r="E56" i="1"/>
  <c r="E54" i="1"/>
  <c r="E53" i="1"/>
  <c r="E52" i="1"/>
  <c r="E51" i="1"/>
  <c r="E50" i="1"/>
  <c r="E10" i="1"/>
  <c r="E34" i="1"/>
  <c r="E35" i="1"/>
  <c r="E36" i="1"/>
  <c r="E37" i="1"/>
  <c r="E33" i="1"/>
  <c r="E23" i="1"/>
  <c r="E24" i="1"/>
  <c r="E25" i="1"/>
  <c r="E26" i="1"/>
  <c r="E22" i="1"/>
  <c r="E17" i="1"/>
  <c r="E18" i="1"/>
  <c r="E19" i="1"/>
  <c r="E20" i="1"/>
  <c r="E16" i="1"/>
  <c r="E11" i="1"/>
  <c r="E12" i="1"/>
  <c r="E13" i="1"/>
  <c r="E14" i="1"/>
  <c r="E4" i="1"/>
  <c r="E5" i="1"/>
  <c r="E6" i="1"/>
  <c r="E7" i="1"/>
  <c r="D23" i="1"/>
  <c r="D24" i="1"/>
  <c r="D25" i="1"/>
  <c r="D26" i="1"/>
  <c r="D22" i="1"/>
  <c r="D16" i="1"/>
  <c r="D17" i="1"/>
  <c r="D18" i="1"/>
  <c r="D19" i="1"/>
  <c r="D20" i="1"/>
  <c r="D10" i="1"/>
  <c r="D11" i="1"/>
  <c r="D12" i="1"/>
  <c r="D13" i="1"/>
  <c r="D14" i="1"/>
  <c r="D4" i="1"/>
  <c r="D5" i="1"/>
  <c r="D6" i="1"/>
  <c r="D7" i="1"/>
</calcChain>
</file>

<file path=xl/sharedStrings.xml><?xml version="1.0" encoding="utf-8"?>
<sst xmlns="http://schemas.openxmlformats.org/spreadsheetml/2006/main" count="80" uniqueCount="26">
  <si>
    <t>Ro</t>
  </si>
  <si>
    <t>R</t>
  </si>
  <si>
    <t>Déformation</t>
  </si>
  <si>
    <t>DeltaR/Ro (Sensibilité)</t>
  </si>
  <si>
    <t>HB</t>
  </si>
  <si>
    <t>2B</t>
  </si>
  <si>
    <t>4B</t>
  </si>
  <si>
    <t>6B</t>
  </si>
  <si>
    <t>e(mm)</t>
  </si>
  <si>
    <t>Radius compression(mm)</t>
  </si>
  <si>
    <t>Flex sensor</t>
  </si>
  <si>
    <t>Angle</t>
  </si>
  <si>
    <t>Graphite</t>
  </si>
  <si>
    <t>COMPRESSION</t>
  </si>
  <si>
    <t>TENSION</t>
  </si>
  <si>
    <t>FLEX</t>
  </si>
  <si>
    <t xml:space="preserve">Sensibility </t>
  </si>
  <si>
    <t>R^2</t>
  </si>
  <si>
    <t>Flex</t>
  </si>
  <si>
    <t>GRAPHITE</t>
  </si>
  <si>
    <t>Time</t>
  </si>
  <si>
    <t>Difference max-min</t>
  </si>
  <si>
    <t>2H</t>
  </si>
  <si>
    <t>Mean</t>
  </si>
  <si>
    <t>Repeatability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</si>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</sst>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4E5B61"/>
      <name val="Aptos Narrow"/>
      <family val="2"/>
      <scheme val="minor"/>
    </font>
    <font>
      <sz val="8"/>
      <color rgb="FF4E5B61"/>
      <name val="Arial Unicode MS"/>
      <family val="2"/>
    </font>
    <font>
      <sz val="16"/>
      <color rgb="FFFF0000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rgb="FF4E5B6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2" fillId="5" borderId="0" xfId="0" applyFont="1" applyFill="1"/>
    <xf numFmtId="0" fontId="4" fillId="5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0" borderId="0" xfId="0" applyFont="1"/>
    <xf numFmtId="0" fontId="2" fillId="6" borderId="0" xfId="0" applyFont="1" applyFill="1"/>
    <xf numFmtId="0" fontId="4" fillId="6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0" fillId="3" borderId="0" xfId="0" applyFill="1"/>
    <xf numFmtId="0" fontId="0" fillId="2" borderId="0" xfId="0" applyFill="1"/>
    <xf numFmtId="164" fontId="0" fillId="0" borderId="0" xfId="0" applyNumberFormat="1"/>
    <xf numFmtId="0" fontId="8" fillId="0" borderId="0" xfId="0" applyFont="1" applyFill="1"/>
    <xf numFmtId="0" fontId="0" fillId="0" borderId="0" xfId="0" applyFill="1"/>
    <xf numFmtId="0" fontId="0" fillId="0" borderId="0" xfId="0" applyFill="1" applyAlignment="1">
      <alignment horizontal="righ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/>
    <xf numFmtId="0" fontId="3" fillId="0" borderId="0" xfId="0" applyFont="1" applyFill="1" applyAlignment="1">
      <alignment vertical="center"/>
    </xf>
    <xf numFmtId="43" fontId="2" fillId="0" borderId="0" xfId="1" applyFont="1" applyFill="1"/>
    <xf numFmtId="0" fontId="0" fillId="7" borderId="0" xfId="0" applyFont="1" applyFill="1"/>
    <xf numFmtId="0" fontId="0" fillId="3" borderId="0" xfId="0" applyFont="1" applyFill="1"/>
    <xf numFmtId="0" fontId="9" fillId="7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6CCD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Compression</a:t>
            </a:r>
          </a:p>
        </c:rich>
      </c:tx>
      <c:layout>
        <c:manualLayout>
          <c:xMode val="edge"/>
          <c:yMode val="edge"/>
          <c:x val="0.43187169422426991"/>
          <c:y val="3.06279057272258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59648565536"/>
          <c:y val="9.7386088113486216E-2"/>
          <c:w val="0.665656497385677"/>
          <c:h val="0.81423665723393113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Sheet1!$E$2:$E$7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1">
                  <c:v>-0.65800238184169657</c:v>
                </c:pt>
                <c:pt idx="2">
                  <c:v>-0.66872047652620781</c:v>
                </c:pt>
                <c:pt idx="3">
                  <c:v>-0.67615287946199265</c:v>
                </c:pt>
                <c:pt idx="4">
                  <c:v>-0.69143803226504197</c:v>
                </c:pt>
                <c:pt idx="5">
                  <c:v>-0.70895944126813171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02-45FF-AE37-DD9931391D38}"/>
            </c:ext>
          </c:extLst>
        </c:ser>
        <c:ser>
          <c:idx val="2"/>
          <c:order val="1"/>
          <c:tx>
            <c:v>2B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Sheet1!$E$9:$E$14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Sheet1!$D$9:$D$14</c:f>
              <c:numCache>
                <c:formatCode>General</c:formatCode>
                <c:ptCount val="6"/>
                <c:pt idx="1">
                  <c:v>-0.32892163223867499</c:v>
                </c:pt>
                <c:pt idx="2">
                  <c:v>-0.36847616738523603</c:v>
                </c:pt>
                <c:pt idx="3">
                  <c:v>-0.3826446844681079</c:v>
                </c:pt>
                <c:pt idx="4">
                  <c:v>-0.41178303319266357</c:v>
                </c:pt>
                <c:pt idx="5">
                  <c:v>-0.44518439543326527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F02-45FF-AE37-DD9931391D38}"/>
            </c:ext>
          </c:extLst>
        </c:ser>
        <c:ser>
          <c:idx val="3"/>
          <c:order val="2"/>
          <c:tx>
            <c:v>4B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Sheet1!$E$15:$E$20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Sheet1!$D$15:$D$20</c:f>
              <c:numCache>
                <c:formatCode>General</c:formatCode>
                <c:ptCount val="6"/>
                <c:pt idx="1">
                  <c:v>-0.13326830767150816</c:v>
                </c:pt>
                <c:pt idx="2">
                  <c:v>-0.14608820375417497</c:v>
                </c:pt>
                <c:pt idx="3">
                  <c:v>-0.15738145527283678</c:v>
                </c:pt>
                <c:pt idx="4">
                  <c:v>-0.18337322669157569</c:v>
                </c:pt>
                <c:pt idx="5">
                  <c:v>-0.20799137197304662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F02-45FF-AE37-DD9931391D38}"/>
            </c:ext>
          </c:extLst>
        </c:ser>
        <c:ser>
          <c:idx val="4"/>
          <c:order val="3"/>
          <c:tx>
            <c:v>6B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Sheet1!$E$21:$E$26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Sheet1!$D$21:$D$26</c:f>
              <c:numCache>
                <c:formatCode>General</c:formatCode>
                <c:ptCount val="6"/>
                <c:pt idx="1">
                  <c:v>-7.1710237246169137E-2</c:v>
                </c:pt>
                <c:pt idx="2">
                  <c:v>-0.14279611579131113</c:v>
                </c:pt>
                <c:pt idx="3">
                  <c:v>-0.16476442489084264</c:v>
                </c:pt>
                <c:pt idx="4">
                  <c:v>-0.19644328739159103</c:v>
                </c:pt>
                <c:pt idx="5">
                  <c:v>-0.20638373429797591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F02-45FF-AE37-DD9931391D38}"/>
            </c:ext>
          </c:extLst>
        </c:ser>
        <c:ser>
          <c:idx val="1"/>
          <c:order val="4"/>
          <c:tx>
            <c:strRef>
              <c:f>Sheet1!$A$34</c:f>
              <c:strCache>
                <c:ptCount val="1"/>
                <c:pt idx="0">
                  <c:v>Flex sensor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Sheet1!$E$33:$E$37</c:f>
              <c:numCache>
                <c:formatCode>General</c:formatCode>
                <c:ptCount val="5"/>
                <c:pt idx="0">
                  <c:v>1.098901098901099E-2</c:v>
                </c:pt>
                <c:pt idx="1">
                  <c:v>1.2345679012345678E-2</c:v>
                </c:pt>
                <c:pt idx="2">
                  <c:v>1.4084507042253521E-2</c:v>
                </c:pt>
                <c:pt idx="3">
                  <c:v>1.6393442622950821E-2</c:v>
                </c:pt>
                <c:pt idx="4">
                  <c:v>1.9607843137254902E-2</c:v>
                </c:pt>
              </c:numCache>
            </c:numRef>
          </c:xVal>
          <c:yVal>
            <c:numRef>
              <c:f>Sheet1!$D$33:$D$37</c:f>
              <c:numCache>
                <c:formatCode>General</c:formatCode>
                <c:ptCount val="5"/>
                <c:pt idx="0">
                  <c:v>-0.54777911111111111</c:v>
                </c:pt>
                <c:pt idx="1">
                  <c:v>-0.57403955555555553</c:v>
                </c:pt>
                <c:pt idx="2">
                  <c:v>-0.59108799999999995</c:v>
                </c:pt>
                <c:pt idx="3">
                  <c:v>-0.639768</c:v>
                </c:pt>
                <c:pt idx="4">
                  <c:v>-0.69189199999999995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CC-4F25-8B80-F19835113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351135"/>
        <c:axId val="1264351615"/>
      </c:scatterChart>
      <c:valAx>
        <c:axId val="1264351135"/>
        <c:scaling>
          <c:orientation val="minMax"/>
          <c:max val="2.0000000000000004E-2"/>
          <c:min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Deformation (mm)</a:t>
                </a:r>
              </a:p>
            </c:rich>
          </c:tx>
          <c:layout>
            <c:manualLayout>
              <c:xMode val="edge"/>
              <c:yMode val="edge"/>
              <c:x val="0.39632619062264079"/>
              <c:y val="0.955784172012647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615"/>
        <c:crosses val="autoZero"/>
        <c:crossBetween val="midCat"/>
      </c:valAx>
      <c:valAx>
        <c:axId val="126435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∆</a:t>
                </a:r>
                <a:r>
                  <a:rPr lang="vi-V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R/Ro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s-MX"/>
              </a:p>
            </c:rich>
          </c:tx>
          <c:layout>
            <c:manualLayout>
              <c:xMode val="edge"/>
              <c:yMode val="edge"/>
              <c:x val="2.4284022893640907E-2"/>
              <c:y val="0.463065928133499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2174445700813"/>
          <c:y val="0.3574194032423873"/>
          <c:w val="0.21907825554299187"/>
          <c:h val="0.342107615587467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Tension </a:t>
            </a:r>
            <a:endParaRPr lang="en-US"/>
          </a:p>
        </c:rich>
      </c:tx>
      <c:layout>
        <c:manualLayout>
          <c:xMode val="edge"/>
          <c:yMode val="edge"/>
          <c:x val="0.41158631273179019"/>
          <c:y val="1.5082956259426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096653341625727E-2"/>
          <c:y val="9.6479831718484857E-2"/>
          <c:w val="0.73010947158601891"/>
          <c:h val="0.81778788612272701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Sheet1!$E$49:$E$54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Sheet1!$D$49:$D$54</c:f>
              <c:numCache>
                <c:formatCode>General</c:formatCode>
                <c:ptCount val="6"/>
                <c:pt idx="1">
                  <c:v>0.35639116143408311</c:v>
                </c:pt>
                <c:pt idx="2">
                  <c:v>0.43560577190116279</c:v>
                </c:pt>
                <c:pt idx="3">
                  <c:v>0.45982995135320492</c:v>
                </c:pt>
                <c:pt idx="4">
                  <c:v>0.53998033266532552</c:v>
                </c:pt>
                <c:pt idx="5">
                  <c:v>0.63478213250547288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336-4BF6-8806-2DFE50B1D97E}"/>
            </c:ext>
          </c:extLst>
        </c:ser>
        <c:ser>
          <c:idx val="1"/>
          <c:order val="1"/>
          <c:tx>
            <c:v>2B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Sheet1!$E$55:$E$60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Sheet1!$D$55:$D$60</c:f>
              <c:numCache>
                <c:formatCode>General</c:formatCode>
                <c:ptCount val="6"/>
                <c:pt idx="1">
                  <c:v>0.23635897203469025</c:v>
                </c:pt>
                <c:pt idx="2">
                  <c:v>0.28073482279172374</c:v>
                </c:pt>
                <c:pt idx="3">
                  <c:v>0.33210816890404715</c:v>
                </c:pt>
                <c:pt idx="4">
                  <c:v>0.44451718628037595</c:v>
                </c:pt>
                <c:pt idx="5">
                  <c:v>0.51543595158028543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336-4BF6-8806-2DFE50B1D97E}"/>
            </c:ext>
          </c:extLst>
        </c:ser>
        <c:ser>
          <c:idx val="2"/>
          <c:order val="2"/>
          <c:tx>
            <c:v>4B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Sheet1!$E$61:$E$66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Sheet1!$D$61:$D$66</c:f>
              <c:numCache>
                <c:formatCode>General</c:formatCode>
                <c:ptCount val="6"/>
                <c:pt idx="1">
                  <c:v>0.20578402327409914</c:v>
                </c:pt>
                <c:pt idx="2">
                  <c:v>0.24859857193303267</c:v>
                </c:pt>
                <c:pt idx="3">
                  <c:v>0.29260795582444582</c:v>
                </c:pt>
                <c:pt idx="4">
                  <c:v>0.33731106063790417</c:v>
                </c:pt>
                <c:pt idx="5">
                  <c:v>0.40010198954287135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36-4BF6-8806-2DFE50B1D97E}"/>
            </c:ext>
          </c:extLst>
        </c:ser>
        <c:ser>
          <c:idx val="3"/>
          <c:order val="3"/>
          <c:tx>
            <c:v>6B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5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195582959787396E-3"/>
                  <c:y val="9.468650314612130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Sheet1!$E$67:$E$72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Sheet1!$D$67:$D$72</c:f>
              <c:numCache>
                <c:formatCode>General</c:formatCode>
                <c:ptCount val="6"/>
                <c:pt idx="1">
                  <c:v>0.18047670107613362</c:v>
                </c:pt>
                <c:pt idx="2">
                  <c:v>0.21270839564465915</c:v>
                </c:pt>
                <c:pt idx="3">
                  <c:v>0.25239795941223608</c:v>
                </c:pt>
                <c:pt idx="4">
                  <c:v>0.30076375787955534</c:v>
                </c:pt>
                <c:pt idx="5">
                  <c:v>0.38503892574791393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36-4BF6-8806-2DFE50B1D97E}"/>
            </c:ext>
          </c:extLst>
        </c:ser>
        <c:ser>
          <c:idx val="4"/>
          <c:order val="4"/>
          <c:tx>
            <c:strRef>
              <c:f>Sheet1!$A$41</c:f>
              <c:strCache>
                <c:ptCount val="1"/>
                <c:pt idx="0">
                  <c:v>Flex sensor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572645357028477E-2"/>
                  <c:y val="3.93096336628561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Sheet1!$E$40:$E$44</c:f>
              <c:numCache>
                <c:formatCode>General</c:formatCode>
                <c:ptCount val="5"/>
                <c:pt idx="0">
                  <c:v>1.098901098901099E-2</c:v>
                </c:pt>
                <c:pt idx="1">
                  <c:v>1.2345679012345678E-2</c:v>
                </c:pt>
                <c:pt idx="2">
                  <c:v>1.4084507042253521E-2</c:v>
                </c:pt>
                <c:pt idx="3">
                  <c:v>1.6393442622950821E-2</c:v>
                </c:pt>
                <c:pt idx="4">
                  <c:v>1.9607843137254902E-2</c:v>
                </c:pt>
              </c:numCache>
            </c:numRef>
          </c:xVal>
          <c:yVal>
            <c:numRef>
              <c:f>Sheet1!$D$40:$D$44</c:f>
              <c:numCache>
                <c:formatCode>General</c:formatCode>
                <c:ptCount val="5"/>
                <c:pt idx="0">
                  <c:v>0.31039799688961872</c:v>
                </c:pt>
                <c:pt idx="1">
                  <c:v>0.33633687740909579</c:v>
                </c:pt>
                <c:pt idx="2">
                  <c:v>0.35215927135797415</c:v>
                </c:pt>
                <c:pt idx="3">
                  <c:v>0.36817468071665388</c:v>
                </c:pt>
                <c:pt idx="4">
                  <c:v>0.37897468974765008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15-49EB-8DBA-8AE9CE68B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613184"/>
        <c:axId val="376613664"/>
      </c:scatterChart>
      <c:valAx>
        <c:axId val="376613184"/>
        <c:scaling>
          <c:orientation val="minMax"/>
          <c:max val="2.0000000000000004E-2"/>
          <c:min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Deformation</a:t>
                </a:r>
                <a:r>
                  <a:rPr lang="es-MX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664"/>
        <c:crosses val="autoZero"/>
        <c:crossBetween val="midCat"/>
      </c:valAx>
      <c:valAx>
        <c:axId val="376613664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∆</a:t>
                </a:r>
                <a:r>
                  <a:rPr lang="vi-VN" sz="1000" b="0" i="0" u="none" strike="noStrike" baseline="0">
                    <a:effectLst/>
                  </a:rPr>
                  <a:t>R/Ro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7.1186309979433295E-3"/>
              <c:y val="0.437128684709244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370920944663016"/>
          <c:y val="0.26319937652272135"/>
          <c:w val="0.19629083589826121"/>
          <c:h val="0.466196155741025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Tension </a:t>
            </a:r>
            <a:endParaRPr lang="en-US"/>
          </a:p>
        </c:rich>
      </c:tx>
      <c:layout>
        <c:manualLayout>
          <c:xMode val="edge"/>
          <c:yMode val="edge"/>
          <c:x val="0.41158631273179019"/>
          <c:y val="1.5082956259426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096653341625727E-2"/>
          <c:y val="9.6479831718484857E-2"/>
          <c:w val="0.73010947158601891"/>
          <c:h val="0.81778788612272701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Sheet1!$E$49:$E$54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Sheet1!$D$49:$D$54</c:f>
              <c:numCache>
                <c:formatCode>General</c:formatCode>
                <c:ptCount val="6"/>
                <c:pt idx="1">
                  <c:v>0.35639116143408311</c:v>
                </c:pt>
                <c:pt idx="2">
                  <c:v>0.43560577190116279</c:v>
                </c:pt>
                <c:pt idx="3">
                  <c:v>0.45982995135320492</c:v>
                </c:pt>
                <c:pt idx="4">
                  <c:v>0.53998033266532552</c:v>
                </c:pt>
                <c:pt idx="5">
                  <c:v>0.63478213250547288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7B-44CF-A963-6C5A18B216BC}"/>
            </c:ext>
          </c:extLst>
        </c:ser>
        <c:ser>
          <c:idx val="1"/>
          <c:order val="1"/>
          <c:tx>
            <c:v>2B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Sheet1!$E$55:$E$60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Sheet1!$D$55:$D$60</c:f>
              <c:numCache>
                <c:formatCode>General</c:formatCode>
                <c:ptCount val="6"/>
                <c:pt idx="1">
                  <c:v>0.23635897203469025</c:v>
                </c:pt>
                <c:pt idx="2">
                  <c:v>0.28073482279172374</c:v>
                </c:pt>
                <c:pt idx="3">
                  <c:v>0.33210816890404715</c:v>
                </c:pt>
                <c:pt idx="4">
                  <c:v>0.44451718628037595</c:v>
                </c:pt>
                <c:pt idx="5">
                  <c:v>0.51543595158028543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7B-44CF-A963-6C5A18B216BC}"/>
            </c:ext>
          </c:extLst>
        </c:ser>
        <c:ser>
          <c:idx val="2"/>
          <c:order val="2"/>
          <c:tx>
            <c:v>4B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Sheet1!$E$61:$E$66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Sheet1!$D$61:$D$66</c:f>
              <c:numCache>
                <c:formatCode>General</c:formatCode>
                <c:ptCount val="6"/>
                <c:pt idx="1">
                  <c:v>0.20578402327409914</c:v>
                </c:pt>
                <c:pt idx="2">
                  <c:v>0.24859857193303267</c:v>
                </c:pt>
                <c:pt idx="3">
                  <c:v>0.29260795582444582</c:v>
                </c:pt>
                <c:pt idx="4">
                  <c:v>0.33731106063790417</c:v>
                </c:pt>
                <c:pt idx="5">
                  <c:v>0.40010198954287135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7B-44CF-A963-6C5A18B216BC}"/>
            </c:ext>
          </c:extLst>
        </c:ser>
        <c:ser>
          <c:idx val="3"/>
          <c:order val="3"/>
          <c:tx>
            <c:v>6B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50000"/>
                  </a:schemeClr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Sheet1!$E$67:$E$72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Sheet1!$D$67:$D$72</c:f>
              <c:numCache>
                <c:formatCode>General</c:formatCode>
                <c:ptCount val="6"/>
                <c:pt idx="1">
                  <c:v>0.18047670107613362</c:v>
                </c:pt>
                <c:pt idx="2">
                  <c:v>0.21270839564465915</c:v>
                </c:pt>
                <c:pt idx="3">
                  <c:v>0.25239795941223608</c:v>
                </c:pt>
                <c:pt idx="4">
                  <c:v>0.30076375787955534</c:v>
                </c:pt>
                <c:pt idx="5">
                  <c:v>0.38503892574791393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B7B-44CF-A963-6C5A18B216BC}"/>
            </c:ext>
          </c:extLst>
        </c:ser>
        <c:ser>
          <c:idx val="4"/>
          <c:order val="4"/>
          <c:tx>
            <c:strRef>
              <c:f>Sheet1!$A$41</c:f>
              <c:strCache>
                <c:ptCount val="1"/>
                <c:pt idx="0">
                  <c:v>Flex sensor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Sheet1!$E$40:$E$44</c:f>
              <c:numCache>
                <c:formatCode>General</c:formatCode>
                <c:ptCount val="5"/>
                <c:pt idx="0">
                  <c:v>1.098901098901099E-2</c:v>
                </c:pt>
                <c:pt idx="1">
                  <c:v>1.2345679012345678E-2</c:v>
                </c:pt>
                <c:pt idx="2">
                  <c:v>1.4084507042253521E-2</c:v>
                </c:pt>
                <c:pt idx="3">
                  <c:v>1.6393442622950821E-2</c:v>
                </c:pt>
                <c:pt idx="4">
                  <c:v>1.9607843137254902E-2</c:v>
                </c:pt>
              </c:numCache>
            </c:numRef>
          </c:xVal>
          <c:yVal>
            <c:numRef>
              <c:f>Sheet1!$D$40:$D$44</c:f>
              <c:numCache>
                <c:formatCode>General</c:formatCode>
                <c:ptCount val="5"/>
                <c:pt idx="0">
                  <c:v>0.31039799688961872</c:v>
                </c:pt>
                <c:pt idx="1">
                  <c:v>0.33633687740909579</c:v>
                </c:pt>
                <c:pt idx="2">
                  <c:v>0.35215927135797415</c:v>
                </c:pt>
                <c:pt idx="3">
                  <c:v>0.36817468071665388</c:v>
                </c:pt>
                <c:pt idx="4">
                  <c:v>0.37897468974765008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B7B-44CF-A963-6C5A18B21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613184"/>
        <c:axId val="376613664"/>
      </c:scatterChart>
      <c:valAx>
        <c:axId val="376613184"/>
        <c:scaling>
          <c:orientation val="minMax"/>
          <c:max val="2.0000000000000004E-2"/>
          <c:min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Deformation</a:t>
                </a:r>
                <a:r>
                  <a:rPr lang="es-MX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664"/>
        <c:crosses val="autoZero"/>
        <c:crossBetween val="midCat"/>
      </c:valAx>
      <c:valAx>
        <c:axId val="376613664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∆</a:t>
                </a:r>
                <a:r>
                  <a:rPr lang="vi-VN" sz="1000" b="0" i="0" u="none" strike="noStrike" baseline="0">
                    <a:effectLst/>
                  </a:rPr>
                  <a:t>R/Ro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7.1186309979433295E-3"/>
              <c:y val="0.437128684709244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13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370920944663016"/>
          <c:y val="0.26319937652272135"/>
          <c:w val="0.19629083589826121"/>
          <c:h val="0.466196155741025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Compression</a:t>
            </a:r>
          </a:p>
        </c:rich>
      </c:tx>
      <c:layout>
        <c:manualLayout>
          <c:xMode val="edge"/>
          <c:yMode val="edge"/>
          <c:x val="0.43187169422426991"/>
          <c:y val="3.06279057272258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59648565536"/>
          <c:y val="9.7386088113486216E-2"/>
          <c:w val="0.665656497385677"/>
          <c:h val="0.81423665723393113"/>
        </c:manualLayout>
      </c:layout>
      <c:scatterChart>
        <c:scatterStyle val="lineMarker"/>
        <c:varyColors val="0"/>
        <c:ser>
          <c:idx val="0"/>
          <c:order val="0"/>
          <c:tx>
            <c:v>HB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Sheet1!$E$2:$E$7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Sheet1!$D$2:$D$7</c:f>
              <c:numCache>
                <c:formatCode>General</c:formatCode>
                <c:ptCount val="6"/>
                <c:pt idx="1">
                  <c:v>-0.65800238184169657</c:v>
                </c:pt>
                <c:pt idx="2">
                  <c:v>-0.66872047652620781</c:v>
                </c:pt>
                <c:pt idx="3">
                  <c:v>-0.67615287946199265</c:v>
                </c:pt>
                <c:pt idx="4">
                  <c:v>-0.69143803226504197</c:v>
                </c:pt>
                <c:pt idx="5">
                  <c:v>-0.70895944126813171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70-4AFD-9CE2-4671912442AF}"/>
            </c:ext>
          </c:extLst>
        </c:ser>
        <c:ser>
          <c:idx val="2"/>
          <c:order val="1"/>
          <c:tx>
            <c:v>2B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Sheet1!$E$9:$E$14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Sheet1!$D$9:$D$14</c:f>
              <c:numCache>
                <c:formatCode>General</c:formatCode>
                <c:ptCount val="6"/>
                <c:pt idx="1">
                  <c:v>-0.32892163223867499</c:v>
                </c:pt>
                <c:pt idx="2">
                  <c:v>-0.36847616738523603</c:v>
                </c:pt>
                <c:pt idx="3">
                  <c:v>-0.3826446844681079</c:v>
                </c:pt>
                <c:pt idx="4">
                  <c:v>-0.41178303319266357</c:v>
                </c:pt>
                <c:pt idx="5">
                  <c:v>-0.44518439543326527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70-4AFD-9CE2-4671912442AF}"/>
            </c:ext>
          </c:extLst>
        </c:ser>
        <c:ser>
          <c:idx val="3"/>
          <c:order val="2"/>
          <c:tx>
            <c:v>4B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Sheet1!$E$15:$E$20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Sheet1!$D$15:$D$20</c:f>
              <c:numCache>
                <c:formatCode>General</c:formatCode>
                <c:ptCount val="6"/>
                <c:pt idx="1">
                  <c:v>-0.13326830767150816</c:v>
                </c:pt>
                <c:pt idx="2">
                  <c:v>-0.14608820375417497</c:v>
                </c:pt>
                <c:pt idx="3">
                  <c:v>-0.15738145527283678</c:v>
                </c:pt>
                <c:pt idx="4">
                  <c:v>-0.18337322669157569</c:v>
                </c:pt>
                <c:pt idx="5">
                  <c:v>-0.20799137197304662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E70-4AFD-9CE2-4671912442AF}"/>
            </c:ext>
          </c:extLst>
        </c:ser>
        <c:ser>
          <c:idx val="4"/>
          <c:order val="3"/>
          <c:tx>
            <c:v>6B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Sheet1!$E$21:$E$26</c:f>
              <c:numCache>
                <c:formatCode>General</c:formatCode>
                <c:ptCount val="6"/>
                <c:pt idx="1">
                  <c:v>1.098901098901099E-2</c:v>
                </c:pt>
                <c:pt idx="2">
                  <c:v>1.2345679012345678E-2</c:v>
                </c:pt>
                <c:pt idx="3">
                  <c:v>1.4084507042253521E-2</c:v>
                </c:pt>
                <c:pt idx="4">
                  <c:v>1.6393442622950821E-2</c:v>
                </c:pt>
                <c:pt idx="5">
                  <c:v>1.9607843137254902E-2</c:v>
                </c:pt>
              </c:numCache>
            </c:numRef>
          </c:xVal>
          <c:yVal>
            <c:numRef>
              <c:f>Sheet1!$D$21:$D$26</c:f>
              <c:numCache>
                <c:formatCode>General</c:formatCode>
                <c:ptCount val="6"/>
                <c:pt idx="1">
                  <c:v>-7.1710237246169137E-2</c:v>
                </c:pt>
                <c:pt idx="2">
                  <c:v>-0.14279611579131113</c:v>
                </c:pt>
                <c:pt idx="3">
                  <c:v>-0.16476442489084264</c:v>
                </c:pt>
                <c:pt idx="4">
                  <c:v>-0.19644328739159103</c:v>
                </c:pt>
                <c:pt idx="5">
                  <c:v>-0.20638373429797591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E70-4AFD-9CE2-4671912442AF}"/>
            </c:ext>
          </c:extLst>
        </c:ser>
        <c:ser>
          <c:idx val="1"/>
          <c:order val="4"/>
          <c:tx>
            <c:strRef>
              <c:f>Sheet1!$A$34</c:f>
              <c:strCache>
                <c:ptCount val="1"/>
                <c:pt idx="0">
                  <c:v>Flex sensor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0"/>
          </c:trendline>
          <c:xVal>
            <c:numRef>
              <c:f>Sheet1!$E$33:$E$37</c:f>
              <c:numCache>
                <c:formatCode>General</c:formatCode>
                <c:ptCount val="5"/>
                <c:pt idx="0">
                  <c:v>1.098901098901099E-2</c:v>
                </c:pt>
                <c:pt idx="1">
                  <c:v>1.2345679012345678E-2</c:v>
                </c:pt>
                <c:pt idx="2">
                  <c:v>1.4084507042253521E-2</c:v>
                </c:pt>
                <c:pt idx="3">
                  <c:v>1.6393442622950821E-2</c:v>
                </c:pt>
                <c:pt idx="4">
                  <c:v>1.9607843137254902E-2</c:v>
                </c:pt>
              </c:numCache>
            </c:numRef>
          </c:xVal>
          <c:yVal>
            <c:numRef>
              <c:f>Sheet1!$D$33:$D$37</c:f>
              <c:numCache>
                <c:formatCode>General</c:formatCode>
                <c:ptCount val="5"/>
                <c:pt idx="0">
                  <c:v>-0.54777911111111111</c:v>
                </c:pt>
                <c:pt idx="1">
                  <c:v>-0.57403955555555553</c:v>
                </c:pt>
                <c:pt idx="2">
                  <c:v>-0.59108799999999995</c:v>
                </c:pt>
                <c:pt idx="3">
                  <c:v>-0.639768</c:v>
                </c:pt>
                <c:pt idx="4">
                  <c:v>-0.69189199999999995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E70-4AFD-9CE2-467191244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351135"/>
        <c:axId val="1264351615"/>
      </c:scatterChart>
      <c:valAx>
        <c:axId val="1264351135"/>
        <c:scaling>
          <c:orientation val="minMax"/>
          <c:max val="2.0000000000000004E-2"/>
          <c:min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Deformation (mm)</a:t>
                </a:r>
              </a:p>
            </c:rich>
          </c:tx>
          <c:layout>
            <c:manualLayout>
              <c:xMode val="edge"/>
              <c:yMode val="edge"/>
              <c:x val="0.39632619062264079"/>
              <c:y val="0.955784172012647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615"/>
        <c:crosses val="autoZero"/>
        <c:crossBetween val="midCat"/>
      </c:valAx>
      <c:valAx>
        <c:axId val="126435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∆</a:t>
                </a:r>
                <a:r>
                  <a:rPr lang="vi-V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R/Ro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s-MX"/>
              </a:p>
            </c:rich>
          </c:tx>
          <c:layout>
            <c:manualLayout>
              <c:xMode val="edge"/>
              <c:yMode val="edge"/>
              <c:x val="2.4284022893640907E-2"/>
              <c:y val="0.463065928133499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3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092174445700813"/>
          <c:y val="0.3574194032423873"/>
          <c:w val="0.21907825554299187"/>
          <c:h val="0.342107615587467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GRAPHITE 2B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1st time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(Sheet1!$D$80,Sheet1!$C$80)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(Sheet1!$D$81,Sheet1!$C$81)</c:f>
              <c:numCache>
                <c:formatCode>General</c:formatCode>
                <c:ptCount val="2"/>
                <c:pt idx="0">
                  <c:v>2157970</c:v>
                </c:pt>
                <c:pt idx="1">
                  <c:v>2292765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D8-4409-8B27-A13D4048720A}"/>
            </c:ext>
          </c:extLst>
        </c:ser>
        <c:ser>
          <c:idx val="1"/>
          <c:order val="1"/>
          <c:tx>
            <c:v>2nd time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(Sheet1!$D$80,Sheet1!$C$80)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(Sheet1!$D$82,Sheet1!$C$82)</c:f>
              <c:numCache>
                <c:formatCode>General</c:formatCode>
                <c:ptCount val="2"/>
                <c:pt idx="0">
                  <c:v>2170271</c:v>
                </c:pt>
                <c:pt idx="1">
                  <c:v>2326178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D8-4409-8B27-A13D4048720A}"/>
            </c:ext>
          </c:extLst>
        </c:ser>
        <c:ser>
          <c:idx val="2"/>
          <c:order val="2"/>
          <c:tx>
            <c:v>3rd time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(Sheet1!$D$80,Sheet1!$C$80)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(Sheet1!$D$83,Sheet1!$C$83)</c:f>
              <c:numCache>
                <c:formatCode>General</c:formatCode>
                <c:ptCount val="2"/>
                <c:pt idx="0">
                  <c:v>2185208</c:v>
                </c:pt>
                <c:pt idx="1">
                  <c:v>2323358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D8-4409-8B27-A13D4048720A}"/>
            </c:ext>
          </c:extLst>
        </c:ser>
        <c:ser>
          <c:idx val="3"/>
          <c:order val="3"/>
          <c:tx>
            <c:v>4th time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Sheet1!$C$80:$D$80</c:f>
              <c:numCache>
                <c:formatCode>General</c:formatCode>
                <c:ptCount val="2"/>
                <c:pt idx="0">
                  <c:v>120</c:v>
                </c:pt>
                <c:pt idx="1">
                  <c:v>0</c:v>
                </c:pt>
              </c:numCache>
            </c:numRef>
          </c:xVal>
          <c:yVal>
            <c:numRef>
              <c:f>Sheet1!$C$84:$D$84</c:f>
              <c:numCache>
                <c:formatCode>General</c:formatCode>
                <c:ptCount val="2"/>
                <c:pt idx="0">
                  <c:v>2323358</c:v>
                </c:pt>
                <c:pt idx="1">
                  <c:v>2167800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D8-4409-8B27-A13D4048720A}"/>
            </c:ext>
          </c:extLst>
        </c:ser>
        <c:ser>
          <c:idx val="4"/>
          <c:order val="4"/>
          <c:tx>
            <c:v>5th time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(Sheet1!$D$80,Sheet1!$C$80)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(Sheet1!$D$85,Sheet1!$C$85)</c:f>
              <c:numCache>
                <c:formatCode>General</c:formatCode>
                <c:ptCount val="2"/>
                <c:pt idx="0">
                  <c:v>2148226</c:v>
                </c:pt>
                <c:pt idx="1">
                  <c:v>2314937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D8-4409-8B27-A13D40487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3892543"/>
        <c:axId val="1003893983"/>
      </c:scatterChart>
      <c:valAx>
        <c:axId val="100389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893983"/>
        <c:crosses val="autoZero"/>
        <c:crossBetween val="midCat"/>
      </c:valAx>
      <c:valAx>
        <c:axId val="100389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892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Flex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262545155593022"/>
          <c:y val="0.15847235958708308"/>
          <c:w val="0.65659367455924311"/>
          <c:h val="0.70521395121044161"/>
        </c:manualLayout>
      </c:layout>
      <c:scatterChart>
        <c:scatterStyle val="lineMarker"/>
        <c:varyColors val="0"/>
        <c:ser>
          <c:idx val="0"/>
          <c:order val="0"/>
          <c:tx>
            <c:v>1st time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(Sheet1!$D$93,Sheet1!$C$93)</c:f>
              <c:numCache>
                <c:formatCode>General</c:formatCode>
                <c:ptCount val="2"/>
                <c:pt idx="0">
                  <c:v>25411</c:v>
                </c:pt>
                <c:pt idx="1">
                  <c:v>34243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71-43A5-9720-3D1F315E9983}"/>
            </c:ext>
          </c:extLst>
        </c:ser>
        <c:ser>
          <c:idx val="1"/>
          <c:order val="1"/>
          <c:tx>
            <c:v>2nd time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(Sheet1!$D$94,Sheet1!$C$94)</c:f>
              <c:numCache>
                <c:formatCode>General</c:formatCode>
                <c:ptCount val="2"/>
                <c:pt idx="0">
                  <c:v>25411</c:v>
                </c:pt>
                <c:pt idx="1">
                  <c:v>34243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71-43A5-9720-3D1F315E9983}"/>
            </c:ext>
          </c:extLst>
        </c:ser>
        <c:ser>
          <c:idx val="2"/>
          <c:order val="2"/>
          <c:tx>
            <c:v>3rd time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(Sheet1!$D$95,Sheet1!$C$95)</c:f>
              <c:numCache>
                <c:formatCode>General</c:formatCode>
                <c:ptCount val="2"/>
                <c:pt idx="0">
                  <c:v>25312</c:v>
                </c:pt>
                <c:pt idx="1">
                  <c:v>33839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71-43A5-9720-3D1F315E9983}"/>
            </c:ext>
          </c:extLst>
        </c:ser>
        <c:ser>
          <c:idx val="3"/>
          <c:order val="3"/>
          <c:tx>
            <c:v>4th time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(Sheet1!$D$96,Sheet1!$C$96)</c:f>
              <c:numCache>
                <c:formatCode>General</c:formatCode>
                <c:ptCount val="2"/>
                <c:pt idx="0">
                  <c:v>25312</c:v>
                </c:pt>
                <c:pt idx="1">
                  <c:v>33839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71-43A5-9720-3D1F315E9983}"/>
            </c:ext>
          </c:extLst>
        </c:ser>
        <c:ser>
          <c:idx val="4"/>
          <c:order val="4"/>
          <c:tx>
            <c:v>5th time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(Sheet1!$D$97,Sheet1!$C$97)</c:f>
              <c:numCache>
                <c:formatCode>General</c:formatCode>
                <c:ptCount val="2"/>
                <c:pt idx="0">
                  <c:v>25312</c:v>
                </c:pt>
                <c:pt idx="1">
                  <c:v>33839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71-43A5-9720-3D1F315E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0690895"/>
        <c:axId val="1110691375"/>
      </c:scatterChart>
      <c:valAx>
        <c:axId val="111069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91375"/>
        <c:crosses val="autoZero"/>
        <c:crossBetween val="midCat"/>
      </c:valAx>
      <c:valAx>
        <c:axId val="1110691375"/>
        <c:scaling>
          <c:orientation val="minMax"/>
          <c:max val="35000"/>
          <c:min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90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Repeatability of Graphite Sensor When Applied at a Corresponding Angle</a:t>
            </a:r>
            <a:endParaRPr lang="en-US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5036834367409052E-2"/>
          <c:y val="0.15076580236405743"/>
          <c:w val="0.91018582593139796"/>
          <c:h val="0.7352489035356933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3107269041334829E-3"/>
                  <c:y val="3.6614366751464129E-2"/>
                </c:manualLayout>
              </c:layout>
              <c:tx>
                <c:rich>
                  <a:bodyPr/>
                  <a:lstStyle/>
                  <a:p>
                    <a:fld id="{E5A01451-2BC9-4303-9E93-2D9F37B89C73}" type="YVALUE">
                      <a:rPr lang="en-US"/>
                      <a:pPr/>
                      <a:t>[Y VALUE]</a:t>
                    </a:fld>
                    <a:r>
                      <a:rPr lang="en-US" sz="900" b="0" i="0" u="none" strike="noStrike" baseline="0"/>
                      <a:t>±12415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106-4661-A7A9-097665170D08}"/>
                </c:ext>
              </c:extLst>
            </c:dLbl>
            <c:dLbl>
              <c:idx val="1"/>
              <c:layout>
                <c:manualLayout>
                  <c:x val="-0.17824179715695271"/>
                  <c:y val="-3.0203188502670446E-2"/>
                </c:manualLayout>
              </c:layout>
              <c:tx>
                <c:rich>
                  <a:bodyPr/>
                  <a:lstStyle/>
                  <a:p>
                    <a:fld id="{6E1FBD32-841D-4C30-A5E3-C46C8BB49C3F}" type="YVALUE">
                      <a:rPr lang="en-US"/>
                      <a:pPr/>
                      <a:t>[Y VALUE]</a:t>
                    </a:fld>
                    <a:r>
                      <a:rPr lang="en-US" sz="900" b="0" i="0" u="none" strike="noStrike" baseline="0"/>
                      <a:t>±12270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106-4661-A7A9-097665170D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Sheet1!$C$89:$D$89</c:f>
                <c:numCache>
                  <c:formatCode>General</c:formatCode>
                  <c:ptCount val="2"/>
                  <c:pt idx="0">
                    <c:v>12270.258047816273</c:v>
                  </c:pt>
                  <c:pt idx="1">
                    <c:v>12415.873356312877</c:v>
                  </c:pt>
                </c:numCache>
              </c:numRef>
            </c:plus>
            <c:minus>
              <c:numRef>
                <c:f>Sheet1!$C$89:$D$89</c:f>
                <c:numCache>
                  <c:formatCode>General</c:formatCode>
                  <c:ptCount val="2"/>
                  <c:pt idx="0">
                    <c:v>12270.258047816273</c:v>
                  </c:pt>
                  <c:pt idx="1">
                    <c:v>12415.873356312877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xVal>
            <c:numRef>
              <c:f>(Sheet1!$D$80,Sheet1!$C$80)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(Sheet1!$D$88,Sheet1!$C$88)</c:f>
              <c:numCache>
                <c:formatCode>General</c:formatCode>
                <c:ptCount val="2"/>
                <c:pt idx="0">
                  <c:v>2165895</c:v>
                </c:pt>
                <c:pt idx="1">
                  <c:v>2316119.2000000002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06-4661-A7A9-097665170D0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10655375"/>
        <c:axId val="1110652975"/>
      </c:scatterChart>
      <c:valAx>
        <c:axId val="1110655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52975"/>
        <c:crosses val="autoZero"/>
        <c:crossBetween val="midCat"/>
      </c:valAx>
      <c:valAx>
        <c:axId val="111065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55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Repeatability of </a:t>
            </a:r>
            <a:r>
              <a:rPr lang="vi-V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Flex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Sensor When Applied at a Corresponding Angle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92995493529798"/>
          <c:y val="0.15354670400701875"/>
          <c:w val="0.75012655156044794"/>
          <c:h val="0.71583451540514009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(Sheet1!$D$101,Sheet1!$C$101)</c:f>
                <c:numCache>
                  <c:formatCode>General</c:formatCode>
                  <c:ptCount val="2"/>
                  <c:pt idx="0">
                    <c:v>48.49989690710693</c:v>
                  </c:pt>
                  <c:pt idx="1">
                    <c:v>197.9187712168808</c:v>
                  </c:pt>
                </c:numCache>
              </c:numRef>
            </c:plus>
            <c:minus>
              <c:numRef>
                <c:f>(Sheet1!$D$101,Sheet1!$C$101)</c:f>
                <c:numCache>
                  <c:formatCode>General</c:formatCode>
                  <c:ptCount val="2"/>
                  <c:pt idx="0">
                    <c:v>48.49989690710693</c:v>
                  </c:pt>
                  <c:pt idx="1">
                    <c:v>197.9187712168808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stdDev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(Sheet1!$D$92,Sheet1!$C$92)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(Sheet1!$D$100,Sheet1!$C$100)</c:f>
              <c:numCache>
                <c:formatCode>General</c:formatCode>
                <c:ptCount val="2"/>
                <c:pt idx="0">
                  <c:v>25351.599999999999</c:v>
                </c:pt>
                <c:pt idx="1">
                  <c:v>34000.6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0E-40D9-9B1B-DAA7F6D0A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0695695"/>
        <c:axId val="1110696655"/>
      </c:scatterChart>
      <c:valAx>
        <c:axId val="1110695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96655"/>
        <c:crosses val="autoZero"/>
        <c:crossBetween val="midCat"/>
      </c:valAx>
      <c:valAx>
        <c:axId val="111069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Resistance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695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71362</xdr:colOff>
      <xdr:row>0</xdr:row>
      <xdr:rowOff>56704</xdr:rowOff>
    </xdr:from>
    <xdr:to>
      <xdr:col>21</xdr:col>
      <xdr:colOff>530407</xdr:colOff>
      <xdr:row>31</xdr:row>
      <xdr:rowOff>26442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164BC4F-6537-4B99-9C5B-A111FD807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552343</xdr:colOff>
      <xdr:row>32</xdr:row>
      <xdr:rowOff>157450</xdr:rowOff>
    </xdr:from>
    <xdr:to>
      <xdr:col>21</xdr:col>
      <xdr:colOff>403213</xdr:colOff>
      <xdr:row>58</xdr:row>
      <xdr:rowOff>71530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9F3D81B-5E50-4F0C-9A88-A8FAE3E69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164409</xdr:colOff>
      <xdr:row>35</xdr:row>
      <xdr:rowOff>159441</xdr:rowOff>
    </xdr:from>
    <xdr:to>
      <xdr:col>38</xdr:col>
      <xdr:colOff>15281</xdr:colOff>
      <xdr:row>61</xdr:row>
      <xdr:rowOff>115348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D2D80B7-4820-4A83-8732-48E02CABD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157783</xdr:colOff>
      <xdr:row>2</xdr:row>
      <xdr:rowOff>2485</xdr:rowOff>
    </xdr:from>
    <xdr:to>
      <xdr:col>38</xdr:col>
      <xdr:colOff>3917</xdr:colOff>
      <xdr:row>32</xdr:row>
      <xdr:rowOff>171005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D66C7C4-C785-495C-9D6B-D07D33E0D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238717</xdr:colOff>
      <xdr:row>76</xdr:row>
      <xdr:rowOff>40003</xdr:rowOff>
    </xdr:from>
    <xdr:to>
      <xdr:col>16</xdr:col>
      <xdr:colOff>61481</xdr:colOff>
      <xdr:row>99</xdr:row>
      <xdr:rowOff>23568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E39734-43FC-90E8-F81B-17FDBC7C1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487974</xdr:colOff>
      <xdr:row>101</xdr:row>
      <xdr:rowOff>166267</xdr:rowOff>
    </xdr:from>
    <xdr:to>
      <xdr:col>14</xdr:col>
      <xdr:colOff>24331</xdr:colOff>
      <xdr:row>116</xdr:row>
      <xdr:rowOff>146827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2164C6-9773-E1B0-5E33-4B11D08AF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52155</xdr:colOff>
      <xdr:row>76</xdr:row>
      <xdr:rowOff>174232</xdr:rowOff>
    </xdr:from>
    <xdr:to>
      <xdr:col>24</xdr:col>
      <xdr:colOff>485508</xdr:colOff>
      <xdr:row>98</xdr:row>
      <xdr:rowOff>78427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8A2E890-36B5-FE2E-84AC-36AF3877BC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460949</xdr:colOff>
      <xdr:row>100</xdr:row>
      <xdr:rowOff>154815</xdr:rowOff>
    </xdr:from>
    <xdr:to>
      <xdr:col>24</xdr:col>
      <xdr:colOff>205198</xdr:colOff>
      <xdr:row>121</xdr:row>
      <xdr:rowOff>146957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5F2757C-2D92-83B2-CBE3-D2EEBF964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ECD-CEA4-4140-9D69-0F9C0C2F40A5}">
  <dimension ref="A1:BG101"/>
  <sheetViews>
    <sheetView tabSelected="1" zoomScale="53" zoomScaleNormal="53" workbookViewId="0">
      <selection activeCell="S72" sqref="S72"/>
    </sheetView>
  </sheetViews>
  <sheetFormatPr defaultRowHeight="14.4" x14ac:dyDescent="0.3"/>
  <cols>
    <col min="1" max="1" width="10.6640625" customWidth="1"/>
    <col min="2" max="2" width="28.44140625" customWidth="1"/>
    <col min="3" max="3" width="9.88671875" bestFit="1" customWidth="1"/>
    <col min="4" max="4" width="21.109375" customWidth="1"/>
    <col min="5" max="5" width="14" customWidth="1"/>
    <col min="6" max="9" width="9" bestFit="1" customWidth="1"/>
    <col min="10" max="10" width="11.44140625" customWidth="1"/>
    <col min="11" max="11" width="9" bestFit="1" customWidth="1"/>
  </cols>
  <sheetData>
    <row r="1" spans="1:59" ht="15.6" x14ac:dyDescent="0.3">
      <c r="A1" s="1"/>
      <c r="B1" s="1" t="s">
        <v>9</v>
      </c>
      <c r="C1" s="1" t="s">
        <v>1</v>
      </c>
      <c r="D1" s="1" t="s">
        <v>3</v>
      </c>
      <c r="E1" s="1" t="s">
        <v>2</v>
      </c>
      <c r="F1" s="1" t="s">
        <v>0</v>
      </c>
      <c r="G1" s="1" t="s">
        <v>8</v>
      </c>
      <c r="H1" s="25"/>
      <c r="I1" s="25"/>
      <c r="J1" s="25"/>
      <c r="K1" s="25"/>
      <c r="L1" s="22"/>
      <c r="M1" s="22"/>
      <c r="N1" s="22"/>
    </row>
    <row r="2" spans="1:59" ht="15.6" x14ac:dyDescent="0.3">
      <c r="A2" s="2"/>
      <c r="B2" s="2"/>
      <c r="C2" s="2"/>
      <c r="D2" s="2"/>
      <c r="E2" s="2"/>
      <c r="F2" s="2"/>
      <c r="G2" s="2"/>
      <c r="H2" s="25"/>
      <c r="I2" s="25"/>
      <c r="J2" s="25"/>
      <c r="K2" s="25"/>
      <c r="L2" s="22"/>
      <c r="M2" s="22"/>
      <c r="N2" s="22"/>
    </row>
    <row r="3" spans="1:59" ht="15.6" x14ac:dyDescent="0.3">
      <c r="A3" s="2"/>
      <c r="B3" s="2">
        <v>22.5</v>
      </c>
      <c r="C3" s="8">
        <v>779883.93</v>
      </c>
      <c r="D3" s="2">
        <f>(C3-$F$3)/$F$3</f>
        <v>-0.65800238184169657</v>
      </c>
      <c r="E3" s="2">
        <f>$G$3/(2*B3+$G$3)</f>
        <v>1.098901098901099E-2</v>
      </c>
      <c r="F3" s="8">
        <v>2280378.25</v>
      </c>
      <c r="G3" s="2">
        <v>0.5</v>
      </c>
      <c r="H3" s="26"/>
      <c r="I3" s="24"/>
      <c r="J3" s="25"/>
      <c r="K3" s="25"/>
      <c r="L3" s="22"/>
      <c r="M3" s="22"/>
      <c r="N3" s="22"/>
    </row>
    <row r="4" spans="1:59" ht="15.6" x14ac:dyDescent="0.3">
      <c r="A4" s="2"/>
      <c r="B4" s="2">
        <v>20</v>
      </c>
      <c r="C4" s="8">
        <v>755442.62</v>
      </c>
      <c r="D4" s="2">
        <f t="shared" ref="D4:D7" si="0">(C4-$F$3)/$F$3</f>
        <v>-0.66872047652620781</v>
      </c>
      <c r="E4" s="2">
        <f t="shared" ref="E4:E7" si="1">$G$3/(2*B4+$G$3)</f>
        <v>1.2345679012345678E-2</v>
      </c>
      <c r="F4" s="2"/>
      <c r="G4" s="2"/>
      <c r="H4" s="26"/>
      <c r="I4" s="24"/>
      <c r="J4" s="25"/>
      <c r="K4" s="25"/>
      <c r="L4" s="22"/>
      <c r="M4" s="22"/>
      <c r="N4" s="22"/>
    </row>
    <row r="5" spans="1:59" ht="15.6" x14ac:dyDescent="0.3">
      <c r="A5" s="2" t="s">
        <v>4</v>
      </c>
      <c r="B5" s="2">
        <v>17.5</v>
      </c>
      <c r="C5" s="8">
        <v>738493.93</v>
      </c>
      <c r="D5" s="2">
        <f t="shared" si="0"/>
        <v>-0.67615287946199265</v>
      </c>
      <c r="E5" s="2">
        <f t="shared" si="1"/>
        <v>1.4084507042253521E-2</v>
      </c>
      <c r="F5" s="2"/>
      <c r="G5" s="2"/>
      <c r="H5" s="26"/>
      <c r="I5" s="24"/>
      <c r="J5" s="25"/>
      <c r="K5" s="25"/>
      <c r="L5" s="22"/>
      <c r="M5" s="22"/>
      <c r="N5" s="22"/>
      <c r="BE5">
        <v>1000000</v>
      </c>
      <c r="BF5">
        <f>BG5/$BE$5</f>
        <v>0.77988393</v>
      </c>
      <c r="BG5" s="8">
        <v>779883.93</v>
      </c>
    </row>
    <row r="6" spans="1:59" ht="15.6" x14ac:dyDescent="0.3">
      <c r="A6" s="2"/>
      <c r="B6" s="2">
        <v>15</v>
      </c>
      <c r="C6" s="8">
        <v>703638</v>
      </c>
      <c r="D6" s="2">
        <f t="shared" si="0"/>
        <v>-0.69143803226504197</v>
      </c>
      <c r="E6" s="2">
        <f t="shared" si="1"/>
        <v>1.6393442622950821E-2</v>
      </c>
      <c r="F6" s="2"/>
      <c r="G6" s="2"/>
      <c r="H6" s="26"/>
      <c r="I6" s="24"/>
      <c r="J6" s="25"/>
      <c r="K6" s="25"/>
      <c r="L6" s="22"/>
      <c r="M6" s="22"/>
      <c r="N6" s="22"/>
      <c r="BG6" s="8">
        <v>755442.62</v>
      </c>
    </row>
    <row r="7" spans="1:59" ht="15.6" x14ac:dyDescent="0.3">
      <c r="A7" s="2"/>
      <c r="B7" s="2">
        <v>12.5</v>
      </c>
      <c r="C7" s="8">
        <v>663682.56000000006</v>
      </c>
      <c r="D7" s="2">
        <f t="shared" si="0"/>
        <v>-0.70895944126813171</v>
      </c>
      <c r="E7" s="2">
        <f t="shared" si="1"/>
        <v>1.9607843137254902E-2</v>
      </c>
      <c r="F7" s="2"/>
      <c r="G7" s="2"/>
      <c r="H7" s="26"/>
      <c r="I7" s="24"/>
      <c r="J7" s="25"/>
      <c r="K7" s="25"/>
      <c r="L7" s="22"/>
      <c r="M7" s="22"/>
      <c r="N7" s="22"/>
      <c r="BG7" s="8">
        <v>738493.93</v>
      </c>
    </row>
    <row r="8" spans="1:59" ht="15.6" x14ac:dyDescent="0.3">
      <c r="A8" s="2"/>
      <c r="B8" s="2"/>
      <c r="C8" s="8"/>
      <c r="D8" s="2"/>
      <c r="E8" s="2"/>
      <c r="F8" s="2"/>
      <c r="G8" s="2"/>
      <c r="H8" s="26"/>
      <c r="I8" s="24"/>
      <c r="J8" s="25"/>
      <c r="K8" s="25"/>
      <c r="BG8" s="8">
        <v>703638</v>
      </c>
    </row>
    <row r="9" spans="1:59" ht="15.6" x14ac:dyDescent="0.3">
      <c r="A9" s="9"/>
      <c r="B9" s="9"/>
      <c r="C9" s="10"/>
      <c r="D9" s="9"/>
      <c r="E9" s="9"/>
      <c r="F9" s="9"/>
      <c r="G9" s="9"/>
      <c r="H9" s="26"/>
      <c r="I9" s="24"/>
      <c r="J9" s="25"/>
      <c r="K9" s="25"/>
      <c r="BF9">
        <f>BG9/BE5</f>
        <v>0.66368256000000003</v>
      </c>
      <c r="BG9" s="8">
        <v>663682.56000000006</v>
      </c>
    </row>
    <row r="10" spans="1:59" ht="15.6" x14ac:dyDescent="0.3">
      <c r="A10" s="9"/>
      <c r="B10" s="9">
        <v>22.5</v>
      </c>
      <c r="C10" s="10">
        <v>802758.62</v>
      </c>
      <c r="D10" s="9">
        <f>(C10-$F$10)/$F$10</f>
        <v>-0.32892163223867499</v>
      </c>
      <c r="E10" s="9">
        <f>$G$3/(2*B10+$G$3)</f>
        <v>1.098901098901099E-2</v>
      </c>
      <c r="F10" s="10">
        <v>1196221.8700000001</v>
      </c>
      <c r="G10" s="9"/>
      <c r="H10" s="26"/>
      <c r="I10" s="24"/>
      <c r="J10" s="26"/>
      <c r="K10" s="26"/>
      <c r="BG10" s="8"/>
    </row>
    <row r="11" spans="1:59" ht="15.6" x14ac:dyDescent="0.3">
      <c r="A11" s="9"/>
      <c r="B11" s="9">
        <v>20</v>
      </c>
      <c r="C11" s="10">
        <v>755442.62</v>
      </c>
      <c r="D11" s="9">
        <f t="shared" ref="D11:D14" si="2">(C11-$F$10)/$F$10</f>
        <v>-0.36847616738523603</v>
      </c>
      <c r="E11" s="9">
        <f t="shared" ref="E11:E14" si="3">$G$3/(2*B11+$G$3)</f>
        <v>1.2345679012345678E-2</v>
      </c>
      <c r="F11" s="9"/>
      <c r="G11" s="9"/>
      <c r="H11" s="26"/>
      <c r="I11" s="24"/>
      <c r="J11" s="25"/>
      <c r="K11" s="25"/>
      <c r="Y11" t="s">
        <v>16</v>
      </c>
      <c r="Z11" t="s">
        <v>17</v>
      </c>
      <c r="BG11" s="10"/>
    </row>
    <row r="12" spans="1:59" ht="23.4" x14ac:dyDescent="0.45">
      <c r="A12" s="9" t="s">
        <v>5</v>
      </c>
      <c r="B12" s="9">
        <v>17.5</v>
      </c>
      <c r="C12" s="10">
        <v>738493.93</v>
      </c>
      <c r="D12" s="9">
        <f t="shared" si="2"/>
        <v>-0.3826446844681079</v>
      </c>
      <c r="E12" s="9">
        <f t="shared" si="3"/>
        <v>1.4084507042253521E-2</v>
      </c>
      <c r="F12" s="9"/>
      <c r="G12" s="9"/>
      <c r="H12" s="13" t="s">
        <v>13</v>
      </c>
      <c r="K12" s="25"/>
      <c r="X12" t="s">
        <v>4</v>
      </c>
      <c r="Y12">
        <v>-5.8334000000000001</v>
      </c>
      <c r="Z12">
        <v>0.99629999999999996</v>
      </c>
      <c r="BF12">
        <f>BG12/$BE$5</f>
        <v>0.80275861999999998</v>
      </c>
      <c r="BG12" s="10">
        <v>802758.62</v>
      </c>
    </row>
    <row r="13" spans="1:59" ht="21" x14ac:dyDescent="0.4">
      <c r="A13" s="9"/>
      <c r="B13" s="9">
        <v>15</v>
      </c>
      <c r="C13" s="10">
        <v>703638</v>
      </c>
      <c r="D13" s="9">
        <f t="shared" si="2"/>
        <v>-0.41178303319266357</v>
      </c>
      <c r="E13" s="9">
        <f t="shared" si="3"/>
        <v>1.6393442622950821E-2</v>
      </c>
      <c r="F13" s="9"/>
      <c r="G13" s="9"/>
      <c r="H13" s="17" t="s">
        <v>12</v>
      </c>
      <c r="K13" s="25"/>
      <c r="X13" t="s">
        <v>5</v>
      </c>
      <c r="Y13">
        <v>-12.635</v>
      </c>
      <c r="Z13">
        <v>0.96289999999999998</v>
      </c>
      <c r="BG13" s="10">
        <v>755442.62</v>
      </c>
    </row>
    <row r="14" spans="1:59" ht="15.6" x14ac:dyDescent="0.3">
      <c r="A14" s="9"/>
      <c r="B14" s="9">
        <v>12.5</v>
      </c>
      <c r="C14" s="10">
        <v>663682.56000000006</v>
      </c>
      <c r="D14" s="9">
        <f t="shared" si="2"/>
        <v>-0.44518439543326527</v>
      </c>
      <c r="E14" s="9">
        <f t="shared" si="3"/>
        <v>1.9607843137254902E-2</v>
      </c>
      <c r="F14" s="9"/>
      <c r="G14" s="9"/>
      <c r="H14" s="26"/>
      <c r="I14" s="24"/>
      <c r="J14" s="25"/>
      <c r="K14" s="25"/>
      <c r="X14" t="s">
        <v>6</v>
      </c>
      <c r="Y14">
        <v>-8.7707999999999995</v>
      </c>
      <c r="Z14">
        <v>0.995</v>
      </c>
      <c r="BG14" s="10">
        <v>738493.93</v>
      </c>
    </row>
    <row r="15" spans="1:59" ht="15.6" x14ac:dyDescent="0.3">
      <c r="A15" s="3"/>
      <c r="B15" s="3"/>
      <c r="C15" s="11"/>
      <c r="D15" s="3"/>
      <c r="E15" s="3"/>
      <c r="F15" s="3"/>
      <c r="G15" s="3"/>
      <c r="H15" s="26"/>
      <c r="I15" s="24"/>
      <c r="J15" s="25"/>
      <c r="K15" s="25"/>
      <c r="X15" t="s">
        <v>7</v>
      </c>
      <c r="Y15">
        <v>-14.026999999999999</v>
      </c>
      <c r="Z15">
        <v>0.79600000000000004</v>
      </c>
      <c r="BG15" s="10">
        <v>703638</v>
      </c>
    </row>
    <row r="16" spans="1:59" ht="15.6" x14ac:dyDescent="0.3">
      <c r="A16" s="3"/>
      <c r="B16" s="3">
        <v>22.5</v>
      </c>
      <c r="C16" s="11">
        <v>352598.37</v>
      </c>
      <c r="D16" s="3">
        <f>(C16-$F$16)/$F$16</f>
        <v>-0.13326830767150816</v>
      </c>
      <c r="E16" s="3">
        <f>$G$3/(2*B16+$G$3)</f>
        <v>1.098901098901099E-2</v>
      </c>
      <c r="F16" s="11">
        <v>406813.75</v>
      </c>
      <c r="G16" s="3"/>
      <c r="H16" s="26"/>
      <c r="I16" s="26"/>
      <c r="J16" s="26"/>
      <c r="K16" s="26"/>
      <c r="X16" t="s">
        <v>18</v>
      </c>
      <c r="Y16">
        <v>-16.71</v>
      </c>
      <c r="Z16">
        <v>0.99350000000000005</v>
      </c>
      <c r="BF16">
        <f>BG16/$BE$5</f>
        <v>0.66368256000000003</v>
      </c>
      <c r="BG16" s="10">
        <v>663682.56000000006</v>
      </c>
    </row>
    <row r="17" spans="1:59" ht="15.6" x14ac:dyDescent="0.3">
      <c r="A17" s="3"/>
      <c r="B17" s="3">
        <v>20</v>
      </c>
      <c r="C17" s="11">
        <v>347383.06</v>
      </c>
      <c r="D17" s="3">
        <f t="shared" ref="D17:D20" si="4">(C17-$F$16)/$F$16</f>
        <v>-0.14608820375417497</v>
      </c>
      <c r="E17" s="3">
        <f t="shared" ref="E17:E20" si="5">$G$3/(2*B17+$G$3)</f>
        <v>1.2345679012345678E-2</v>
      </c>
      <c r="F17" s="3"/>
      <c r="G17" s="3"/>
      <c r="H17" s="26"/>
      <c r="I17" s="26"/>
      <c r="J17" s="25"/>
      <c r="K17" s="25"/>
      <c r="BG17" s="11"/>
    </row>
    <row r="18" spans="1:59" ht="15.6" x14ac:dyDescent="0.3">
      <c r="A18" s="3" t="s">
        <v>6</v>
      </c>
      <c r="B18" s="3">
        <v>17.5</v>
      </c>
      <c r="C18" s="11">
        <v>342788.81</v>
      </c>
      <c r="D18" s="3">
        <f t="shared" si="4"/>
        <v>-0.15738145527283678</v>
      </c>
      <c r="E18" s="3">
        <f t="shared" si="5"/>
        <v>1.4084507042253521E-2</v>
      </c>
      <c r="F18" s="3"/>
      <c r="G18" s="3"/>
      <c r="H18" s="26"/>
      <c r="I18" s="26"/>
      <c r="J18" s="25"/>
      <c r="K18" s="25"/>
      <c r="Y18" t="s">
        <v>16</v>
      </c>
      <c r="Z18" t="s">
        <v>17</v>
      </c>
      <c r="BF18">
        <f>BG18/$BE$5</f>
        <v>0.35259836999999999</v>
      </c>
      <c r="BG18" s="11">
        <v>352598.37</v>
      </c>
    </row>
    <row r="19" spans="1:59" ht="15.6" x14ac:dyDescent="0.3">
      <c r="A19" s="3"/>
      <c r="B19" s="3">
        <v>15</v>
      </c>
      <c r="C19" s="5">
        <v>332215</v>
      </c>
      <c r="D19" s="3">
        <f t="shared" si="4"/>
        <v>-0.18337322669157569</v>
      </c>
      <c r="E19" s="3">
        <f t="shared" si="5"/>
        <v>1.6393442622950821E-2</v>
      </c>
      <c r="F19" s="3"/>
      <c r="G19" s="3"/>
      <c r="H19" s="26"/>
      <c r="I19" s="26"/>
      <c r="J19" s="25"/>
      <c r="K19" s="25"/>
      <c r="X19" t="s">
        <v>4</v>
      </c>
      <c r="Y19">
        <v>-44.673000000000002</v>
      </c>
      <c r="Z19">
        <v>0.96830000000000005</v>
      </c>
      <c r="BG19" s="11">
        <v>347383.06</v>
      </c>
    </row>
    <row r="20" spans="1:59" ht="15.6" x14ac:dyDescent="0.3">
      <c r="A20" s="3"/>
      <c r="B20" s="3">
        <v>12.5</v>
      </c>
      <c r="C20" s="5">
        <v>322200</v>
      </c>
      <c r="D20" s="3">
        <f t="shared" si="4"/>
        <v>-0.20799137197304662</v>
      </c>
      <c r="E20" s="3">
        <f t="shared" si="5"/>
        <v>1.9607843137254902E-2</v>
      </c>
      <c r="F20" s="3"/>
      <c r="G20" s="3"/>
      <c r="H20" s="26"/>
      <c r="I20" s="26"/>
      <c r="J20" s="25"/>
      <c r="K20" s="25"/>
      <c r="X20" t="s">
        <v>5</v>
      </c>
      <c r="Y20">
        <v>-25.812000000000001</v>
      </c>
      <c r="Z20">
        <v>0.98850000000000005</v>
      </c>
      <c r="BG20" s="11">
        <v>342788.81</v>
      </c>
    </row>
    <row r="21" spans="1:59" ht="15.6" x14ac:dyDescent="0.3">
      <c r="A21" s="4"/>
      <c r="B21" s="4"/>
      <c r="C21" s="6"/>
      <c r="D21" s="4"/>
      <c r="E21" s="4"/>
      <c r="F21" s="4"/>
      <c r="G21" s="4"/>
      <c r="H21" s="26"/>
      <c r="I21" s="26"/>
      <c r="J21" s="25"/>
      <c r="K21" s="25"/>
      <c r="X21" t="s">
        <v>6</v>
      </c>
      <c r="Y21">
        <v>-11.175000000000001</v>
      </c>
      <c r="Z21">
        <v>0.99790000000000001</v>
      </c>
      <c r="BG21" s="5">
        <v>332215</v>
      </c>
    </row>
    <row r="22" spans="1:59" ht="15.6" x14ac:dyDescent="0.3">
      <c r="A22" s="4"/>
      <c r="B22" s="4">
        <v>22.5</v>
      </c>
      <c r="C22" s="12">
        <v>293031.28000000003</v>
      </c>
      <c r="D22" s="4">
        <f>(C22-$F$22)/$F$22</f>
        <v>-7.1710237246169137E-2</v>
      </c>
      <c r="E22" s="4">
        <f>$G$3/(2*B22+$G$3)</f>
        <v>1.098901098901099E-2</v>
      </c>
      <c r="F22" s="12">
        <v>315667.90000000002</v>
      </c>
      <c r="G22" s="4"/>
      <c r="H22" s="26"/>
      <c r="I22" s="26"/>
      <c r="J22" s="26"/>
      <c r="K22" s="26"/>
      <c r="X22" t="s">
        <v>7</v>
      </c>
      <c r="Y22">
        <v>-10.792</v>
      </c>
      <c r="Z22">
        <v>0.97860000000000003</v>
      </c>
      <c r="BF22">
        <f>BG22/$BE$5</f>
        <v>0.32219999999999999</v>
      </c>
      <c r="BG22" s="5">
        <v>322200</v>
      </c>
    </row>
    <row r="23" spans="1:59" ht="15.6" x14ac:dyDescent="0.3">
      <c r="A23" s="4"/>
      <c r="B23" s="4">
        <v>20</v>
      </c>
      <c r="C23" s="12">
        <v>270591.75</v>
      </c>
      <c r="D23" s="4">
        <f t="shared" ref="D23:D26" si="6">(C23-$F$22)/$F$22</f>
        <v>-0.14279611579131113</v>
      </c>
      <c r="E23" s="4">
        <f t="shared" ref="E23:E26" si="7">$G$3/(2*B23+$G$3)</f>
        <v>1.2345679012345678E-2</v>
      </c>
      <c r="F23" s="4"/>
      <c r="G23" s="4"/>
      <c r="H23" s="26"/>
      <c r="I23" s="26"/>
      <c r="J23" s="25"/>
      <c r="K23" s="27"/>
      <c r="X23" t="s">
        <v>10</v>
      </c>
      <c r="Y23">
        <v>-40.441000000000003</v>
      </c>
      <c r="Z23">
        <v>0.98529999999999995</v>
      </c>
      <c r="BG23" s="6"/>
    </row>
    <row r="24" spans="1:59" ht="15.6" x14ac:dyDescent="0.3">
      <c r="A24" s="4" t="s">
        <v>7</v>
      </c>
      <c r="B24" s="4">
        <v>17.5</v>
      </c>
      <c r="C24" s="6">
        <v>263657.06</v>
      </c>
      <c r="D24" s="4">
        <f t="shared" si="6"/>
        <v>-0.16476442489084264</v>
      </c>
      <c r="E24" s="4">
        <f t="shared" si="7"/>
        <v>1.4084507042253521E-2</v>
      </c>
      <c r="F24" s="4"/>
      <c r="G24" s="4"/>
      <c r="H24" s="26"/>
      <c r="I24" s="26"/>
      <c r="J24" s="25"/>
      <c r="K24" s="25"/>
      <c r="BF24">
        <f>BG24/$BE$5</f>
        <v>0.29303128000000001</v>
      </c>
      <c r="BG24" s="12">
        <v>293031.28000000003</v>
      </c>
    </row>
    <row r="25" spans="1:59" ht="15.6" x14ac:dyDescent="0.3">
      <c r="A25" s="4"/>
      <c r="B25" s="4">
        <v>15</v>
      </c>
      <c r="C25" s="12">
        <v>253657.06</v>
      </c>
      <c r="D25" s="4">
        <f t="shared" si="6"/>
        <v>-0.19644328739159103</v>
      </c>
      <c r="E25" s="4">
        <f t="shared" si="7"/>
        <v>1.6393442622950821E-2</v>
      </c>
      <c r="F25" s="4"/>
      <c r="G25" s="4"/>
      <c r="H25" s="26"/>
      <c r="I25" s="26"/>
      <c r="J25" s="25"/>
      <c r="K25" s="25"/>
      <c r="BG25" s="12">
        <v>270591.75</v>
      </c>
    </row>
    <row r="26" spans="1:59" ht="15.6" x14ac:dyDescent="0.3">
      <c r="A26" s="4"/>
      <c r="B26" s="4">
        <v>12.5</v>
      </c>
      <c r="C26" s="12">
        <v>250519.18</v>
      </c>
      <c r="D26" s="4">
        <f t="shared" si="6"/>
        <v>-0.20638373429797591</v>
      </c>
      <c r="E26" s="4">
        <f t="shared" si="7"/>
        <v>1.9607843137254902E-2</v>
      </c>
      <c r="F26" s="4"/>
      <c r="G26" s="4"/>
      <c r="H26" s="26"/>
      <c r="I26" s="26"/>
      <c r="J26" s="25"/>
      <c r="K26" s="25"/>
      <c r="BG26" s="6">
        <v>263657.06</v>
      </c>
    </row>
    <row r="27" spans="1:59" x14ac:dyDescent="0.3">
      <c r="BG27" s="12">
        <v>253657.06</v>
      </c>
    </row>
    <row r="28" spans="1:59" x14ac:dyDescent="0.3">
      <c r="BF28">
        <f>BG28/$BE$5</f>
        <v>0.25051918000000001</v>
      </c>
      <c r="BG28" s="12">
        <v>250519.18</v>
      </c>
    </row>
    <row r="31" spans="1:59" ht="15.6" x14ac:dyDescent="0.3">
      <c r="B31" s="1" t="s">
        <v>9</v>
      </c>
      <c r="C31" t="s">
        <v>1</v>
      </c>
      <c r="D31" s="1" t="s">
        <v>3</v>
      </c>
      <c r="E31" s="1" t="s">
        <v>2</v>
      </c>
      <c r="F31" s="1" t="s">
        <v>0</v>
      </c>
    </row>
    <row r="32" spans="1:59" ht="15.6" x14ac:dyDescent="0.3">
      <c r="A32" s="18"/>
      <c r="B32" s="3"/>
      <c r="C32" s="18"/>
      <c r="D32" s="3"/>
      <c r="E32" s="3"/>
      <c r="F32" s="3"/>
    </row>
    <row r="33" spans="1:26" ht="23.4" x14ac:dyDescent="0.45">
      <c r="A33" s="18"/>
      <c r="B33" s="3">
        <v>22.5</v>
      </c>
      <c r="C33" s="11">
        <v>10174.969999999999</v>
      </c>
      <c r="D33" s="18">
        <f>(C33-$F$33)/$F$33</f>
        <v>-0.54777911111111111</v>
      </c>
      <c r="E33" s="3">
        <f>$G$3/(2*B33+$G$3)</f>
        <v>1.098901098901099E-2</v>
      </c>
      <c r="F33" s="11">
        <v>22500</v>
      </c>
      <c r="G33" s="13" t="s">
        <v>15</v>
      </c>
    </row>
    <row r="34" spans="1:26" ht="15.6" x14ac:dyDescent="0.3">
      <c r="A34" s="18" t="s">
        <v>10</v>
      </c>
      <c r="B34" s="3">
        <v>20</v>
      </c>
      <c r="C34" s="11">
        <v>9584.11</v>
      </c>
      <c r="D34" s="18">
        <f t="shared" ref="D34:D37" si="8">(C34-$F$33)/$F$33</f>
        <v>-0.57403955555555553</v>
      </c>
      <c r="E34" s="3">
        <f t="shared" ref="E34:E37" si="9">$G$3/(2*B34+$G$3)</f>
        <v>1.2345679012345678E-2</v>
      </c>
      <c r="F34" s="18"/>
    </row>
    <row r="35" spans="1:26" ht="23.4" x14ac:dyDescent="0.45">
      <c r="A35" s="18"/>
      <c r="B35" s="3">
        <v>17.5</v>
      </c>
      <c r="C35" s="11">
        <v>9200.52</v>
      </c>
      <c r="D35" s="18">
        <f t="shared" si="8"/>
        <v>-0.59108799999999995</v>
      </c>
      <c r="E35" s="3">
        <f t="shared" si="9"/>
        <v>1.4084507042253521E-2</v>
      </c>
      <c r="F35" s="18"/>
      <c r="G35" s="13" t="s">
        <v>13</v>
      </c>
    </row>
    <row r="36" spans="1:26" ht="15.6" x14ac:dyDescent="0.3">
      <c r="A36" s="18"/>
      <c r="B36" s="3">
        <v>15</v>
      </c>
      <c r="C36" s="11">
        <v>8105.22</v>
      </c>
      <c r="D36" s="18">
        <f t="shared" si="8"/>
        <v>-0.639768</v>
      </c>
      <c r="E36" s="3">
        <f t="shared" si="9"/>
        <v>1.6393442622950821E-2</v>
      </c>
      <c r="F36" s="18"/>
    </row>
    <row r="37" spans="1:26" ht="15.6" x14ac:dyDescent="0.3">
      <c r="A37" s="18"/>
      <c r="B37" s="3">
        <v>12.5</v>
      </c>
      <c r="C37" s="11">
        <v>6932.43</v>
      </c>
      <c r="D37" s="18">
        <f t="shared" si="8"/>
        <v>-0.69189199999999995</v>
      </c>
      <c r="E37" s="3">
        <f t="shared" si="9"/>
        <v>1.9607843137254902E-2</v>
      </c>
      <c r="F37" s="18"/>
    </row>
    <row r="38" spans="1:26" ht="15.6" x14ac:dyDescent="0.3">
      <c r="B38" s="1" t="s">
        <v>9</v>
      </c>
      <c r="C38" t="s">
        <v>1</v>
      </c>
      <c r="D38" s="1" t="s">
        <v>3</v>
      </c>
      <c r="E38" s="1" t="s">
        <v>2</v>
      </c>
      <c r="F38" s="1" t="s">
        <v>0</v>
      </c>
    </row>
    <row r="39" spans="1:26" ht="15.6" x14ac:dyDescent="0.3">
      <c r="A39" s="19"/>
      <c r="B39" s="2"/>
      <c r="C39" s="19"/>
      <c r="D39" s="2"/>
      <c r="E39" s="2"/>
      <c r="F39" s="2"/>
    </row>
    <row r="40" spans="1:26" ht="15.6" x14ac:dyDescent="0.3">
      <c r="A40" s="19"/>
      <c r="B40" s="2">
        <v>22.5</v>
      </c>
      <c r="C40" s="8">
        <v>29600.41</v>
      </c>
      <c r="D40" s="19">
        <f>ABS(C40-$F$40)/$F$40</f>
        <v>0.31039799688961872</v>
      </c>
      <c r="E40" s="2">
        <f>$G$3/(2*B40+$G$3)</f>
        <v>1.098901098901099E-2</v>
      </c>
      <c r="F40" s="8">
        <v>22588.87</v>
      </c>
    </row>
    <row r="41" spans="1:26" ht="15.6" x14ac:dyDescent="0.3">
      <c r="A41" s="19" t="s">
        <v>10</v>
      </c>
      <c r="B41" s="2">
        <v>20</v>
      </c>
      <c r="C41" s="8">
        <v>30186.34</v>
      </c>
      <c r="D41" s="19">
        <f t="shared" ref="D41:D44" si="10">ABS(C41-$F$40)/$F$40</f>
        <v>0.33633687740909579</v>
      </c>
      <c r="E41" s="2">
        <f t="shared" ref="E41:E44" si="11">$G$3/(2*B41+$G$3)</f>
        <v>1.2345679012345678E-2</v>
      </c>
      <c r="F41" s="19"/>
      <c r="Y41" t="s">
        <v>16</v>
      </c>
      <c r="Z41" t="s">
        <v>17</v>
      </c>
    </row>
    <row r="42" spans="1:26" ht="23.4" x14ac:dyDescent="0.45">
      <c r="A42" s="19"/>
      <c r="B42" s="2">
        <v>17.5</v>
      </c>
      <c r="C42" s="8">
        <v>30543.75</v>
      </c>
      <c r="D42" s="19">
        <f t="shared" si="10"/>
        <v>0.35215927135797415</v>
      </c>
      <c r="E42" s="2">
        <f t="shared" si="11"/>
        <v>1.4084507042253521E-2</v>
      </c>
      <c r="F42" s="19"/>
      <c r="G42" s="13" t="s">
        <v>14</v>
      </c>
      <c r="X42" t="s">
        <v>4</v>
      </c>
      <c r="Y42">
        <v>30.812000000000001</v>
      </c>
      <c r="Z42">
        <v>0.98260000000000003</v>
      </c>
    </row>
    <row r="43" spans="1:26" ht="15.6" x14ac:dyDescent="0.3">
      <c r="A43" s="19"/>
      <c r="B43" s="2">
        <v>15</v>
      </c>
      <c r="C43" s="8">
        <v>30905.52</v>
      </c>
      <c r="D43" s="19">
        <f t="shared" si="10"/>
        <v>0.36817468071665388</v>
      </c>
      <c r="E43" s="2">
        <f t="shared" si="11"/>
        <v>1.6393442622950821E-2</v>
      </c>
      <c r="F43" s="19"/>
      <c r="X43" t="s">
        <v>5</v>
      </c>
      <c r="Y43">
        <v>33.630000000000003</v>
      </c>
      <c r="Z43">
        <v>0.98360000000000003</v>
      </c>
    </row>
    <row r="44" spans="1:26" ht="15.6" x14ac:dyDescent="0.3">
      <c r="A44" s="19"/>
      <c r="B44" s="2">
        <v>12.5</v>
      </c>
      <c r="C44" s="8">
        <v>31149.48</v>
      </c>
      <c r="D44" s="19">
        <f t="shared" si="10"/>
        <v>0.37897468974765008</v>
      </c>
      <c r="E44" s="2">
        <f t="shared" si="11"/>
        <v>1.9607843137254902E-2</v>
      </c>
      <c r="F44" s="19"/>
      <c r="X44" t="s">
        <v>6</v>
      </c>
      <c r="Y44">
        <v>22.068999999999999</v>
      </c>
      <c r="Z44">
        <v>0.99039999999999995</v>
      </c>
    </row>
    <row r="45" spans="1:26" x14ac:dyDescent="0.3">
      <c r="X45" t="s">
        <v>7</v>
      </c>
      <c r="Y45">
        <v>23.46</v>
      </c>
      <c r="Z45">
        <v>0.99829999999999997</v>
      </c>
    </row>
    <row r="46" spans="1:26" ht="23.4" x14ac:dyDescent="0.45">
      <c r="A46" s="21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X46" t="s">
        <v>18</v>
      </c>
      <c r="Y46">
        <v>7.5186999999999999</v>
      </c>
      <c r="Z46">
        <v>0.90110000000000001</v>
      </c>
    </row>
    <row r="47" spans="1:26" x14ac:dyDescent="0.3">
      <c r="L47" s="22"/>
      <c r="M47" s="22"/>
      <c r="N47" s="22"/>
    </row>
    <row r="48" spans="1:26" ht="15.6" x14ac:dyDescent="0.3">
      <c r="A48" s="1"/>
      <c r="B48" s="1" t="s">
        <v>9</v>
      </c>
      <c r="C48" s="1" t="s">
        <v>1</v>
      </c>
      <c r="D48" s="1" t="s">
        <v>3</v>
      </c>
      <c r="E48" s="1" t="s">
        <v>2</v>
      </c>
      <c r="F48" s="1" t="s">
        <v>0</v>
      </c>
      <c r="G48" s="1" t="s">
        <v>8</v>
      </c>
      <c r="H48" s="25"/>
      <c r="I48" s="25"/>
      <c r="L48" s="22"/>
      <c r="M48" s="22"/>
      <c r="N48" s="22"/>
    </row>
    <row r="49" spans="1:26" ht="15.6" x14ac:dyDescent="0.3">
      <c r="A49" s="2"/>
      <c r="B49" s="2"/>
      <c r="C49" s="2"/>
      <c r="D49" s="2"/>
      <c r="E49" s="2"/>
      <c r="F49" s="2"/>
      <c r="G49" s="2"/>
      <c r="H49" s="25"/>
      <c r="I49" s="25"/>
      <c r="L49" s="22"/>
      <c r="M49" s="22"/>
      <c r="N49" s="22"/>
      <c r="Y49" t="s">
        <v>16</v>
      </c>
      <c r="Z49" t="s">
        <v>17</v>
      </c>
    </row>
    <row r="50" spans="1:26" ht="15.6" x14ac:dyDescent="0.3">
      <c r="A50" s="2"/>
      <c r="B50" s="2">
        <v>22.5</v>
      </c>
      <c r="C50" s="8">
        <v>1300367.1200000001</v>
      </c>
      <c r="D50" s="2">
        <f>(C50-$F$50)/$F$50</f>
        <v>0.35639116143408311</v>
      </c>
      <c r="E50" s="2">
        <f>$G$3/(2*B50+$G$3)</f>
        <v>1.098901098901099E-2</v>
      </c>
      <c r="F50" s="8">
        <v>958696.25</v>
      </c>
      <c r="G50" s="2">
        <v>0.5</v>
      </c>
      <c r="H50" s="24"/>
      <c r="I50" s="24"/>
      <c r="J50" s="7"/>
      <c r="K50" s="7"/>
      <c r="L50" s="22"/>
      <c r="M50" s="22"/>
      <c r="N50" s="22"/>
      <c r="X50" t="s">
        <v>4</v>
      </c>
      <c r="Y50" s="20">
        <v>32.957999999999998</v>
      </c>
      <c r="Z50">
        <v>0.99919999999999998</v>
      </c>
    </row>
    <row r="51" spans="1:26" ht="15.6" x14ac:dyDescent="0.3">
      <c r="A51" s="2"/>
      <c r="B51" s="2">
        <v>20</v>
      </c>
      <c r="C51" s="8">
        <v>1376309.87</v>
      </c>
      <c r="D51" s="2">
        <f>(C51-$F$50)/$F$50</f>
        <v>0.43560577190116279</v>
      </c>
      <c r="E51" s="2">
        <f t="shared" ref="E51:E54" si="12">$G$3/(2*B51+$G$3)</f>
        <v>1.2345679012345678E-2</v>
      </c>
      <c r="F51" s="2"/>
      <c r="G51" s="2"/>
      <c r="H51" s="24"/>
      <c r="I51" s="24"/>
      <c r="L51" s="22"/>
      <c r="M51" s="22"/>
      <c r="N51" s="22"/>
      <c r="X51" t="s">
        <v>5</v>
      </c>
      <c r="Y51">
        <v>25.013999999999999</v>
      </c>
      <c r="Z51">
        <v>0.99370000000000003</v>
      </c>
    </row>
    <row r="52" spans="1:26" ht="15.6" x14ac:dyDescent="0.3">
      <c r="A52" s="2" t="s">
        <v>4</v>
      </c>
      <c r="B52" s="2">
        <v>17.5</v>
      </c>
      <c r="C52" s="8">
        <v>1399533.5</v>
      </c>
      <c r="D52" s="2">
        <f>(C52-$F$50)/$F$50</f>
        <v>0.45982995135320492</v>
      </c>
      <c r="E52" s="2">
        <f t="shared" si="12"/>
        <v>1.4084507042253521E-2</v>
      </c>
      <c r="F52" s="2"/>
      <c r="G52" s="2"/>
      <c r="H52" s="24"/>
      <c r="I52" s="24"/>
      <c r="L52" s="22"/>
      <c r="M52" s="22"/>
      <c r="N52" s="22"/>
      <c r="X52" t="s">
        <v>6</v>
      </c>
      <c r="Y52">
        <v>20.295000000000002</v>
      </c>
      <c r="Z52">
        <v>0.99919999999999998</v>
      </c>
    </row>
    <row r="53" spans="1:26" ht="15.6" x14ac:dyDescent="0.3">
      <c r="A53" s="2"/>
      <c r="B53" s="2">
        <v>15</v>
      </c>
      <c r="C53" s="8">
        <v>1476373.37</v>
      </c>
      <c r="D53" s="2">
        <f>(C53-$F$50)/$F$50</f>
        <v>0.53998033266532552</v>
      </c>
      <c r="E53" s="2">
        <f t="shared" si="12"/>
        <v>1.6393442622950821E-2</v>
      </c>
      <c r="F53" s="2"/>
      <c r="G53" s="2"/>
      <c r="H53" s="24"/>
      <c r="I53" s="24"/>
      <c r="L53" s="22"/>
      <c r="M53" s="22"/>
      <c r="N53" s="22"/>
      <c r="X53" t="s">
        <v>7</v>
      </c>
      <c r="Y53">
        <v>18.364999999999998</v>
      </c>
      <c r="Z53">
        <v>0.99650000000000005</v>
      </c>
    </row>
    <row r="54" spans="1:26" ht="15.6" x14ac:dyDescent="0.3">
      <c r="A54" s="2"/>
      <c r="B54" s="2">
        <v>12.5</v>
      </c>
      <c r="C54" s="8">
        <v>1567259.5</v>
      </c>
      <c r="D54" s="2">
        <f>(C54-$F$50)/$F$50</f>
        <v>0.63478213250547288</v>
      </c>
      <c r="E54" s="2">
        <f t="shared" si="12"/>
        <v>1.9607843137254902E-2</v>
      </c>
      <c r="F54" s="2"/>
      <c r="G54" s="2"/>
      <c r="H54" s="24"/>
      <c r="I54" s="24"/>
      <c r="L54" s="22"/>
      <c r="M54" s="22"/>
      <c r="N54" s="22"/>
      <c r="X54" t="s">
        <v>18</v>
      </c>
      <c r="Y54">
        <v>23.106999999999999</v>
      </c>
      <c r="Z54">
        <v>0.98019999999999996</v>
      </c>
    </row>
    <row r="55" spans="1:26" ht="15.6" x14ac:dyDescent="0.3">
      <c r="A55" s="9"/>
      <c r="B55" s="9"/>
      <c r="C55" s="10"/>
      <c r="D55" s="9"/>
      <c r="E55" s="9"/>
      <c r="F55" s="9"/>
      <c r="G55" s="9"/>
      <c r="H55" s="24"/>
      <c r="I55" s="24"/>
      <c r="L55" s="22"/>
      <c r="M55" s="22"/>
      <c r="N55" s="22"/>
    </row>
    <row r="56" spans="1:26" ht="15.6" x14ac:dyDescent="0.3">
      <c r="A56" s="9"/>
      <c r="B56" s="9">
        <v>22.5</v>
      </c>
      <c r="C56" s="10">
        <v>1297911.8700000001</v>
      </c>
      <c r="D56" s="9">
        <f>(C56-$F$56)/$F$56</f>
        <v>0.23635897203469025</v>
      </c>
      <c r="E56" s="9">
        <f>$G$3/(2*B56+$G$3)</f>
        <v>1.098901098901099E-2</v>
      </c>
      <c r="F56" s="10">
        <v>1049785.6200000001</v>
      </c>
      <c r="G56" s="9"/>
      <c r="H56" s="26"/>
      <c r="I56" s="24"/>
      <c r="L56" s="22"/>
      <c r="M56" s="22"/>
      <c r="N56" s="22"/>
    </row>
    <row r="57" spans="1:26" ht="15.6" x14ac:dyDescent="0.3">
      <c r="A57" s="9"/>
      <c r="B57" s="9">
        <v>20</v>
      </c>
      <c r="C57" s="10">
        <v>1344497</v>
      </c>
      <c r="D57" s="9">
        <f>(C57-$F$56)/$F$56</f>
        <v>0.28073482279172374</v>
      </c>
      <c r="E57" s="9">
        <f t="shared" ref="E57:E60" si="13">$G$3/(2*B57+$G$3)</f>
        <v>1.2345679012345678E-2</v>
      </c>
      <c r="F57" s="9"/>
      <c r="G57" s="9"/>
      <c r="H57" s="26"/>
      <c r="I57" s="26"/>
      <c r="L57" s="22"/>
      <c r="M57" s="22"/>
      <c r="N57" s="22"/>
    </row>
    <row r="58" spans="1:26" ht="15.6" x14ac:dyDescent="0.3">
      <c r="A58" s="9" t="s">
        <v>5</v>
      </c>
      <c r="B58" s="9">
        <v>17.5</v>
      </c>
      <c r="C58" s="10">
        <v>1398428</v>
      </c>
      <c r="D58" s="9">
        <f>(C58-$F$56)/$F$56</f>
        <v>0.33210816890404715</v>
      </c>
      <c r="E58" s="9">
        <f t="shared" si="13"/>
        <v>1.4084507042253521E-2</v>
      </c>
      <c r="F58" s="9"/>
      <c r="G58" s="9"/>
      <c r="H58" s="26"/>
      <c r="I58" s="26"/>
      <c r="L58" s="22"/>
      <c r="M58" s="22"/>
      <c r="N58" s="22"/>
    </row>
    <row r="59" spans="1:26" ht="15.6" x14ac:dyDescent="0.3">
      <c r="A59" s="9"/>
      <c r="B59" s="9">
        <v>15</v>
      </c>
      <c r="C59" s="10">
        <v>1516433.37</v>
      </c>
      <c r="D59" s="9">
        <f>(C59-$F$56)/$F$56</f>
        <v>0.44451718628037595</v>
      </c>
      <c r="E59" s="9">
        <f t="shared" si="13"/>
        <v>1.6393442622950821E-2</v>
      </c>
      <c r="F59" s="9"/>
      <c r="G59" s="9"/>
      <c r="H59" s="26"/>
      <c r="I59" s="26"/>
      <c r="L59" s="22"/>
      <c r="M59" s="22"/>
      <c r="N59" s="22"/>
    </row>
    <row r="60" spans="1:26" ht="25.8" x14ac:dyDescent="0.5">
      <c r="A60" s="9"/>
      <c r="B60" s="9">
        <v>12.5</v>
      </c>
      <c r="C60" s="10">
        <v>1590882.87</v>
      </c>
      <c r="D60" s="9">
        <f>(C60-$F$56)/$F$56</f>
        <v>0.51543595158028543</v>
      </c>
      <c r="E60" s="9">
        <f t="shared" si="13"/>
        <v>1.9607843137254902E-2</v>
      </c>
      <c r="F60" s="9"/>
      <c r="G60" s="9"/>
      <c r="H60" s="26"/>
      <c r="I60" s="26"/>
      <c r="J60" s="16" t="s">
        <v>14</v>
      </c>
      <c r="L60" s="22"/>
      <c r="M60" s="22"/>
      <c r="N60" s="22"/>
    </row>
    <row r="61" spans="1:26" ht="15.6" x14ac:dyDescent="0.3">
      <c r="A61" s="14">
        <v>0</v>
      </c>
      <c r="B61" s="14"/>
      <c r="C61" s="15"/>
      <c r="D61" s="14"/>
      <c r="E61" s="14"/>
      <c r="F61" s="14"/>
      <c r="G61" s="14"/>
      <c r="H61" s="26"/>
      <c r="I61" s="26"/>
      <c r="L61" s="22"/>
      <c r="M61" s="22"/>
      <c r="N61" s="22"/>
    </row>
    <row r="62" spans="1:26" ht="23.4" x14ac:dyDescent="0.45">
      <c r="A62" s="14"/>
      <c r="B62" s="14">
        <v>22.5</v>
      </c>
      <c r="C62" s="15">
        <v>565121.43000000005</v>
      </c>
      <c r="D62" s="14">
        <f>(C62-$F$62)/$F$62</f>
        <v>0.20578402327409914</v>
      </c>
      <c r="E62" s="14">
        <f>$G$3/(2*B62+$G$3)</f>
        <v>1.098901098901099E-2</v>
      </c>
      <c r="F62" s="15">
        <v>468675.5</v>
      </c>
      <c r="G62" s="14"/>
      <c r="H62" s="26"/>
      <c r="I62" s="24"/>
      <c r="J62" s="13" t="s">
        <v>12</v>
      </c>
      <c r="L62" s="22"/>
      <c r="M62" s="22"/>
      <c r="N62" s="22"/>
    </row>
    <row r="63" spans="1:26" ht="15.6" x14ac:dyDescent="0.3">
      <c r="A63" s="14"/>
      <c r="B63" s="14">
        <v>20</v>
      </c>
      <c r="C63" s="15">
        <v>585187.56000000006</v>
      </c>
      <c r="D63" s="14">
        <f>(C63-$F$62)/$F$62</f>
        <v>0.24859857193303267</v>
      </c>
      <c r="E63" s="14">
        <f t="shared" ref="E63:E66" si="14">$G$3/(2*B63+$G$3)</f>
        <v>1.2345679012345678E-2</v>
      </c>
      <c r="F63" s="14"/>
      <c r="G63" s="14"/>
      <c r="H63" s="26"/>
      <c r="I63" s="26"/>
      <c r="L63" s="22"/>
      <c r="M63" s="22"/>
      <c r="N63" s="22"/>
    </row>
    <row r="64" spans="1:26" ht="15.6" x14ac:dyDescent="0.3">
      <c r="A64" s="14" t="s">
        <v>6</v>
      </c>
      <c r="B64" s="14">
        <v>17.5</v>
      </c>
      <c r="C64" s="15">
        <v>605813.68000000005</v>
      </c>
      <c r="D64" s="14">
        <f>(C64-$F$62)/$F$62</f>
        <v>0.29260795582444582</v>
      </c>
      <c r="E64" s="14">
        <f t="shared" si="14"/>
        <v>1.4084507042253521E-2</v>
      </c>
      <c r="F64" s="14"/>
      <c r="G64" s="14"/>
      <c r="H64" s="26"/>
      <c r="I64" s="26"/>
      <c r="L64" s="22"/>
      <c r="M64" s="22"/>
      <c r="N64" s="22"/>
    </row>
    <row r="65" spans="1:14" ht="15.6" x14ac:dyDescent="0.3">
      <c r="A65" s="14"/>
      <c r="B65" s="14">
        <v>15</v>
      </c>
      <c r="C65" s="15">
        <v>626764.93000000005</v>
      </c>
      <c r="D65" s="14">
        <f>(C65-$F$62)/$F$62</f>
        <v>0.33731106063790417</v>
      </c>
      <c r="E65" s="14">
        <f t="shared" si="14"/>
        <v>1.6393442622950821E-2</v>
      </c>
      <c r="F65" s="14"/>
      <c r="G65" s="14"/>
      <c r="H65" s="26"/>
      <c r="I65" s="26"/>
      <c r="L65" s="22"/>
      <c r="M65" s="22"/>
      <c r="N65" s="22"/>
    </row>
    <row r="66" spans="1:14" ht="15.6" x14ac:dyDescent="0.3">
      <c r="A66" s="14"/>
      <c r="B66" s="14">
        <v>12.5</v>
      </c>
      <c r="C66" s="15">
        <v>656193.5</v>
      </c>
      <c r="D66" s="14">
        <f>(C66-$F$62)/$F$62</f>
        <v>0.40010198954287135</v>
      </c>
      <c r="E66" s="14">
        <f t="shared" si="14"/>
        <v>1.9607843137254902E-2</v>
      </c>
      <c r="F66" s="14"/>
      <c r="G66" s="14"/>
      <c r="H66" s="26"/>
      <c r="I66" s="26"/>
      <c r="L66" s="22"/>
      <c r="M66" s="22"/>
      <c r="N66" s="22"/>
    </row>
    <row r="67" spans="1:14" ht="15.6" x14ac:dyDescent="0.3">
      <c r="A67" s="4">
        <v>0</v>
      </c>
      <c r="B67" s="4"/>
      <c r="C67" s="12"/>
      <c r="D67" s="4"/>
      <c r="E67" s="4"/>
      <c r="F67" s="4"/>
      <c r="G67" s="4"/>
      <c r="H67" s="26"/>
      <c r="I67" s="26"/>
      <c r="L67" s="22"/>
      <c r="M67" s="22"/>
      <c r="N67" s="22"/>
    </row>
    <row r="68" spans="1:14" ht="15.6" x14ac:dyDescent="0.3">
      <c r="A68" s="4"/>
      <c r="B68" s="4">
        <v>22.5</v>
      </c>
      <c r="C68" s="12">
        <v>1119915</v>
      </c>
      <c r="D68" s="4">
        <f>(C68-$F$68)/$F$68</f>
        <v>0.18047670107613362</v>
      </c>
      <c r="E68" s="4">
        <f>$G$3/(2*B68+$G$3)</f>
        <v>1.098901098901099E-2</v>
      </c>
      <c r="F68" s="12">
        <v>948697.25</v>
      </c>
      <c r="G68" s="4"/>
      <c r="H68" s="26"/>
      <c r="I68" s="24"/>
      <c r="L68" s="22"/>
      <c r="M68" s="22"/>
      <c r="N68" s="22"/>
    </row>
    <row r="69" spans="1:14" ht="15.6" x14ac:dyDescent="0.3">
      <c r="A69" s="4"/>
      <c r="B69" s="4">
        <v>20</v>
      </c>
      <c r="C69" s="12">
        <v>1150493.1200000001</v>
      </c>
      <c r="D69" s="4">
        <f>(C69-$F$68)/$F$68</f>
        <v>0.21270839564465915</v>
      </c>
      <c r="E69" s="4">
        <f t="shared" ref="E69:E72" si="15">$G$3/(2*B69+$G$3)</f>
        <v>1.2345679012345678E-2</v>
      </c>
      <c r="F69" s="4"/>
      <c r="G69" s="4"/>
      <c r="H69" s="26"/>
      <c r="I69" s="26"/>
      <c r="L69" s="22"/>
      <c r="M69" s="22"/>
      <c r="N69" s="22"/>
    </row>
    <row r="70" spans="1:14" ht="15.6" x14ac:dyDescent="0.3">
      <c r="A70" s="4" t="s">
        <v>7</v>
      </c>
      <c r="B70" s="4">
        <v>17.5</v>
      </c>
      <c r="C70" s="12">
        <v>1188146.5</v>
      </c>
      <c r="D70" s="4">
        <f>(C70-$F$68)/$F$68</f>
        <v>0.25239795941223608</v>
      </c>
      <c r="E70" s="4">
        <f t="shared" si="15"/>
        <v>1.4084507042253521E-2</v>
      </c>
      <c r="F70" s="4"/>
      <c r="G70" s="4"/>
      <c r="H70" s="26"/>
      <c r="I70" s="26"/>
      <c r="L70" s="22"/>
      <c r="M70" s="22"/>
      <c r="N70" s="22"/>
    </row>
    <row r="71" spans="1:14" ht="15.6" x14ac:dyDescent="0.3">
      <c r="A71" s="4"/>
      <c r="B71" s="4">
        <v>15</v>
      </c>
      <c r="C71" s="12">
        <v>1234031</v>
      </c>
      <c r="D71" s="4">
        <f>(C71-$F$68)/$F$68</f>
        <v>0.30076375787955534</v>
      </c>
      <c r="E71" s="4">
        <f t="shared" si="15"/>
        <v>1.6393442622950821E-2</v>
      </c>
      <c r="F71" s="4"/>
      <c r="G71" s="4"/>
      <c r="H71" s="26"/>
      <c r="I71" s="26"/>
      <c r="L71" s="22"/>
      <c r="M71" s="22"/>
      <c r="N71" s="22"/>
    </row>
    <row r="72" spans="1:14" ht="15.6" x14ac:dyDescent="0.3">
      <c r="A72" s="4"/>
      <c r="B72" s="4">
        <v>12.5</v>
      </c>
      <c r="C72" s="12">
        <v>1313982.6200000001</v>
      </c>
      <c r="D72" s="4">
        <f>(C72-$F$68)/$F$68</f>
        <v>0.38503892574791393</v>
      </c>
      <c r="E72" s="4">
        <f t="shared" si="15"/>
        <v>1.9607843137254902E-2</v>
      </c>
      <c r="F72" s="4"/>
      <c r="G72" s="4"/>
      <c r="H72" s="26"/>
      <c r="I72" s="26"/>
      <c r="L72" s="22"/>
      <c r="M72" s="22"/>
      <c r="N72" s="22"/>
    </row>
    <row r="73" spans="1:14" x14ac:dyDescent="0.3">
      <c r="L73" s="22"/>
      <c r="M73" s="22"/>
      <c r="N73" s="22"/>
    </row>
    <row r="74" spans="1:14" x14ac:dyDescent="0.3">
      <c r="A74" s="22"/>
      <c r="B74" s="23"/>
      <c r="C74" s="24"/>
      <c r="D74" s="24"/>
      <c r="E74" s="24"/>
      <c r="F74" s="22"/>
      <c r="G74" s="22"/>
      <c r="H74" s="22"/>
      <c r="I74" s="22"/>
      <c r="J74" s="22"/>
      <c r="K74" s="22"/>
      <c r="L74" s="22"/>
      <c r="M74" s="22"/>
      <c r="N74" s="22"/>
    </row>
    <row r="75" spans="1:14" x14ac:dyDescent="0.3">
      <c r="A75" s="22"/>
      <c r="B75" s="23"/>
      <c r="C75" s="24"/>
      <c r="D75" s="24"/>
      <c r="E75" s="24"/>
      <c r="F75" s="22"/>
      <c r="G75" s="22"/>
      <c r="H75" s="22"/>
      <c r="I75" s="22"/>
      <c r="J75" s="22"/>
      <c r="K75" s="22"/>
      <c r="L75" s="22"/>
      <c r="M75" s="22"/>
      <c r="N75" s="22"/>
    </row>
    <row r="76" spans="1:14" x14ac:dyDescent="0.3">
      <c r="A76" s="22"/>
      <c r="B76" s="23"/>
      <c r="C76" s="24"/>
      <c r="D76" s="24"/>
      <c r="E76" s="24"/>
      <c r="F76" s="22"/>
      <c r="G76" s="22"/>
      <c r="H76" s="22"/>
      <c r="I76" s="22"/>
      <c r="J76" s="22"/>
      <c r="K76" s="22"/>
      <c r="L76" s="22"/>
      <c r="M76" s="22"/>
      <c r="N76" s="22"/>
    </row>
    <row r="77" spans="1:14" x14ac:dyDescent="0.3">
      <c r="F77" s="22"/>
      <c r="G77" s="22"/>
      <c r="H77" s="22"/>
      <c r="I77" s="22"/>
      <c r="J77" s="22"/>
      <c r="K77" s="22"/>
      <c r="L77" s="22"/>
      <c r="M77" s="22"/>
      <c r="N77" s="22"/>
    </row>
    <row r="78" spans="1:14" x14ac:dyDescent="0.3">
      <c r="A78" s="28" t="s">
        <v>19</v>
      </c>
      <c r="B78" s="28" t="s">
        <v>22</v>
      </c>
      <c r="C78" s="28"/>
      <c r="D78" s="28"/>
      <c r="F78" s="22"/>
      <c r="G78" s="22"/>
      <c r="H78" s="22"/>
      <c r="I78" s="22"/>
      <c r="J78" s="22"/>
      <c r="K78" s="22"/>
      <c r="L78" s="22"/>
      <c r="M78" s="22"/>
      <c r="N78" s="22"/>
    </row>
    <row r="79" spans="1:14" x14ac:dyDescent="0.3">
      <c r="A79" s="28"/>
      <c r="B79" s="28"/>
      <c r="C79" s="28" t="s">
        <v>11</v>
      </c>
      <c r="D79" s="28"/>
      <c r="F79" s="22"/>
      <c r="G79" s="22"/>
      <c r="H79" s="22"/>
      <c r="I79" s="22"/>
      <c r="J79" s="22"/>
      <c r="K79" s="22"/>
      <c r="L79" s="22"/>
      <c r="M79" s="22"/>
      <c r="N79" s="22"/>
    </row>
    <row r="80" spans="1:14" x14ac:dyDescent="0.3">
      <c r="A80" s="28"/>
      <c r="B80" s="28" t="s">
        <v>20</v>
      </c>
      <c r="C80" s="28">
        <v>120</v>
      </c>
      <c r="D80" s="28">
        <v>0</v>
      </c>
    </row>
    <row r="81" spans="1:4" x14ac:dyDescent="0.3">
      <c r="A81" s="28"/>
      <c r="B81" s="30">
        <v>1</v>
      </c>
      <c r="C81" s="30">
        <v>2292765</v>
      </c>
      <c r="D81" s="30">
        <v>2157970</v>
      </c>
    </row>
    <row r="82" spans="1:4" x14ac:dyDescent="0.3">
      <c r="A82" s="28"/>
      <c r="B82" s="30">
        <v>2</v>
      </c>
      <c r="C82" s="30">
        <v>2326178</v>
      </c>
      <c r="D82" s="30">
        <v>2170271</v>
      </c>
    </row>
    <row r="83" spans="1:4" x14ac:dyDescent="0.3">
      <c r="A83" s="28"/>
      <c r="B83" s="30">
        <v>3</v>
      </c>
      <c r="C83" s="30">
        <v>2323358</v>
      </c>
      <c r="D83" s="30">
        <v>2185208</v>
      </c>
    </row>
    <row r="84" spans="1:4" x14ac:dyDescent="0.3">
      <c r="A84" s="28"/>
      <c r="B84" s="30">
        <v>4</v>
      </c>
      <c r="C84" s="30">
        <v>2323358</v>
      </c>
      <c r="D84" s="30">
        <v>2167800</v>
      </c>
    </row>
    <row r="85" spans="1:4" x14ac:dyDescent="0.3">
      <c r="A85" s="28"/>
      <c r="B85" s="30">
        <v>5</v>
      </c>
      <c r="C85" s="30">
        <v>2314937</v>
      </c>
      <c r="D85" s="30">
        <v>2148226</v>
      </c>
    </row>
    <row r="86" spans="1:4" x14ac:dyDescent="0.3">
      <c r="A86" s="28"/>
      <c r="B86" s="30" t="s">
        <v>21</v>
      </c>
      <c r="C86" s="28">
        <f>C82-C81</f>
        <v>33413</v>
      </c>
      <c r="D86" s="28">
        <f>D83-D85</f>
        <v>36982</v>
      </c>
    </row>
    <row r="87" spans="1:4" x14ac:dyDescent="0.3">
      <c r="A87" s="28"/>
      <c r="B87" s="30"/>
      <c r="C87" s="28">
        <f>C86/C81*100</f>
        <v>1.4573233628391919</v>
      </c>
      <c r="D87" s="28">
        <f>D86/D85*100</f>
        <v>1.7215134720462373</v>
      </c>
    </row>
    <row r="88" spans="1:4" x14ac:dyDescent="0.3">
      <c r="A88" s="28"/>
      <c r="B88" s="30" t="s">
        <v>23</v>
      </c>
      <c r="C88" s="28">
        <f>AVERAGE(C81:C85)</f>
        <v>2316119.2000000002</v>
      </c>
      <c r="D88" s="28">
        <f>AVERAGE(D81:D85)</f>
        <v>2165895</v>
      </c>
    </row>
    <row r="89" spans="1:4" x14ac:dyDescent="0.3">
      <c r="A89" s="28"/>
      <c r="B89" s="30" t="s">
        <v>24</v>
      </c>
      <c r="C89" s="28">
        <f>_xlfn.STDEV.P(C81:C85)</f>
        <v>12270.258047816273</v>
      </c>
      <c r="D89" s="28">
        <f>_xlfn.STDEV.P(D81:D85)</f>
        <v>12415.873356312877</v>
      </c>
    </row>
    <row r="90" spans="1:4" x14ac:dyDescent="0.3">
      <c r="A90" s="29" t="s">
        <v>15</v>
      </c>
      <c r="B90" s="29"/>
      <c r="C90" s="29"/>
      <c r="D90" s="29"/>
    </row>
    <row r="91" spans="1:4" x14ac:dyDescent="0.3">
      <c r="A91" s="29"/>
      <c r="B91" s="29"/>
      <c r="C91" s="29" t="s">
        <v>11</v>
      </c>
      <c r="D91" s="29"/>
    </row>
    <row r="92" spans="1:4" x14ac:dyDescent="0.3">
      <c r="A92" s="29"/>
      <c r="B92" s="29" t="s">
        <v>20</v>
      </c>
      <c r="C92" s="29">
        <v>120</v>
      </c>
      <c r="D92" s="29">
        <v>0</v>
      </c>
    </row>
    <row r="93" spans="1:4" x14ac:dyDescent="0.3">
      <c r="A93" s="29"/>
      <c r="B93" s="31">
        <v>1</v>
      </c>
      <c r="C93" s="31">
        <v>34243</v>
      </c>
      <c r="D93" s="31">
        <v>25411</v>
      </c>
    </row>
    <row r="94" spans="1:4" x14ac:dyDescent="0.3">
      <c r="A94" s="29"/>
      <c r="B94" s="31">
        <v>2</v>
      </c>
      <c r="C94" s="31">
        <v>34243</v>
      </c>
      <c r="D94" s="31">
        <v>25411</v>
      </c>
    </row>
    <row r="95" spans="1:4" x14ac:dyDescent="0.3">
      <c r="A95" s="29"/>
      <c r="B95" s="31">
        <v>3</v>
      </c>
      <c r="C95" s="31">
        <v>33839</v>
      </c>
      <c r="D95" s="31">
        <v>25312</v>
      </c>
    </row>
    <row r="96" spans="1:4" x14ac:dyDescent="0.3">
      <c r="A96" s="29"/>
      <c r="B96" s="31">
        <v>4</v>
      </c>
      <c r="C96" s="31">
        <v>33839</v>
      </c>
      <c r="D96" s="31">
        <v>25312</v>
      </c>
    </row>
    <row r="97" spans="1:4" x14ac:dyDescent="0.3">
      <c r="A97" s="29"/>
      <c r="B97" s="31">
        <v>5</v>
      </c>
      <c r="C97" s="31">
        <v>33839</v>
      </c>
      <c r="D97" s="31">
        <v>25312</v>
      </c>
    </row>
    <row r="98" spans="1:4" x14ac:dyDescent="0.3">
      <c r="A98" s="29"/>
      <c r="B98" s="31" t="s">
        <v>21</v>
      </c>
      <c r="C98" s="29">
        <f>C94-C96</f>
        <v>404</v>
      </c>
      <c r="D98" s="29">
        <f>D94-D95</f>
        <v>99</v>
      </c>
    </row>
    <row r="99" spans="1:4" x14ac:dyDescent="0.3">
      <c r="A99" s="29"/>
      <c r="B99" s="29"/>
      <c r="C99" s="29">
        <f>C98/C96*100</f>
        <v>1.1938887082951624</v>
      </c>
      <c r="D99" s="29">
        <f>D98/D95*100</f>
        <v>0.39111883691529709</v>
      </c>
    </row>
    <row r="100" spans="1:4" x14ac:dyDescent="0.3">
      <c r="A100" s="29"/>
      <c r="B100" s="31" t="s">
        <v>23</v>
      </c>
      <c r="C100" s="29">
        <f>AVERAGE(C93:C97)</f>
        <v>34000.6</v>
      </c>
      <c r="D100" s="29">
        <f>AVERAGE(D93:D97)</f>
        <v>25351.599999999999</v>
      </c>
    </row>
    <row r="101" spans="1:4" x14ac:dyDescent="0.3">
      <c r="A101" s="29"/>
      <c r="B101" s="29" t="s">
        <v>25</v>
      </c>
      <c r="C101" s="29">
        <f>_xlfn.STDEV.P(C93:C97)</f>
        <v>197.9187712168808</v>
      </c>
      <c r="D101" s="29">
        <f>_xlfn.STDEV.P(D93:D97)</f>
        <v>48.49989690710693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Phan-Xuan-Anh Nguyen</dc:creator>
  <cp:lastModifiedBy>Phan-Xuan-Anh Nguyen</cp:lastModifiedBy>
  <dcterms:created xsi:type="dcterms:W3CDTF">2026-04-07T19:34:52Z</dcterms:created>
  <dcterms:modified xsi:type="dcterms:W3CDTF">2026-05-03T00:06:34Z</dcterms:modified>
</cp:coreProperties>
</file>